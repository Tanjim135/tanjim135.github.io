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jimislam/Desktop/"/>
    </mc:Choice>
  </mc:AlternateContent>
  <xr:revisionPtr revIDLastSave="0" documentId="13_ncr:1_{54FE221C-C8FF-1F47-9388-291A97E34A13}" xr6:coauthVersionLast="47" xr6:coauthVersionMax="47" xr10:uidLastSave="{00000000-0000-0000-0000-000000000000}"/>
  <bookViews>
    <workbookView xWindow="5700" yWindow="780" windowWidth="28040" windowHeight="17440" xr2:uid="{851A97EB-C021-E740-B523-F36163881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C22" i="1"/>
  <c r="C21" i="1"/>
  <c r="J3" i="1"/>
  <c r="D44" i="1"/>
  <c r="D21" i="1"/>
  <c r="J6" i="1"/>
  <c r="J5" i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J4" i="1" l="1"/>
  <c r="F21" i="1" l="1"/>
  <c r="J7" i="1"/>
  <c r="E21" i="1"/>
  <c r="G21" i="1" s="1"/>
  <c r="D22" i="1"/>
  <c r="E22" i="1" l="1"/>
  <c r="G22" i="1"/>
  <c r="C23" i="1" s="1"/>
  <c r="D23" i="1" l="1"/>
  <c r="E23" i="1" s="1"/>
  <c r="G23" i="1" s="1"/>
  <c r="C24" i="1" s="1"/>
  <c r="F22" i="1"/>
  <c r="F23" i="1" l="1"/>
  <c r="D24" i="1"/>
  <c r="E24" i="1" l="1"/>
  <c r="G24" i="1" s="1"/>
  <c r="C25" i="1" s="1"/>
  <c r="F24" i="1" l="1"/>
  <c r="D25" i="1"/>
  <c r="E25" i="1" l="1"/>
  <c r="G25" i="1" s="1"/>
  <c r="F25" i="1" l="1"/>
  <c r="C26" i="1"/>
  <c r="C27" i="1"/>
  <c r="D27" i="1" l="1"/>
  <c r="E27" i="1"/>
  <c r="G27" i="1" s="1"/>
  <c r="C28" i="1" s="1"/>
  <c r="D26" i="1"/>
  <c r="D28" i="1" l="1"/>
  <c r="E28" i="1"/>
  <c r="G28" i="1" s="1"/>
  <c r="C29" i="1" s="1"/>
  <c r="E26" i="1"/>
  <c r="G26" i="1" s="1"/>
  <c r="F27" i="1"/>
  <c r="D29" i="1" l="1"/>
  <c r="E29" i="1"/>
  <c r="G29" i="1" s="1"/>
  <c r="C30" i="1" s="1"/>
  <c r="F26" i="1"/>
  <c r="F28" i="1"/>
  <c r="D30" i="1" l="1"/>
  <c r="E30" i="1"/>
  <c r="G30" i="1" s="1"/>
  <c r="C31" i="1" s="1"/>
  <c r="F29" i="1"/>
  <c r="D31" i="1" l="1"/>
  <c r="E31" i="1"/>
  <c r="G31" i="1"/>
  <c r="C32" i="1" s="1"/>
  <c r="F30" i="1"/>
  <c r="D32" i="1" l="1"/>
  <c r="E32" i="1"/>
  <c r="G32" i="1" s="1"/>
  <c r="C33" i="1" s="1"/>
  <c r="F31" i="1"/>
  <c r="D33" i="1" l="1"/>
  <c r="E33" i="1"/>
  <c r="G33" i="1" s="1"/>
  <c r="C34" i="1" s="1"/>
  <c r="D34" i="1" s="1"/>
  <c r="F32" i="1"/>
  <c r="E34" i="1" l="1"/>
  <c r="G34" i="1" s="1"/>
  <c r="C35" i="1" s="1"/>
  <c r="D35" i="1" s="1"/>
  <c r="F34" i="1"/>
  <c r="F33" i="1"/>
  <c r="E35" i="1" l="1"/>
  <c r="G35" i="1" s="1"/>
  <c r="C36" i="1" s="1"/>
  <c r="F35" i="1"/>
  <c r="D36" i="1" l="1"/>
  <c r="E36" i="1" s="1"/>
  <c r="G36" i="1" s="1"/>
  <c r="C37" i="1" s="1"/>
  <c r="D37" i="1" s="1"/>
  <c r="E37" i="1" l="1"/>
  <c r="G37" i="1" s="1"/>
  <c r="C38" i="1" s="1"/>
  <c r="F37" i="1"/>
  <c r="F36" i="1"/>
  <c r="D38" i="1" l="1"/>
  <c r="E38" i="1" s="1"/>
  <c r="G38" i="1" s="1"/>
  <c r="C39" i="1" s="1"/>
  <c r="D39" i="1" l="1"/>
  <c r="E39" i="1"/>
  <c r="G39" i="1" s="1"/>
  <c r="C40" i="1" s="1"/>
  <c r="D40" i="1" s="1"/>
  <c r="F38" i="1"/>
  <c r="E40" i="1" l="1"/>
  <c r="G40" i="1" s="1"/>
  <c r="C41" i="1" s="1"/>
  <c r="F40" i="1"/>
  <c r="F39" i="1"/>
  <c r="D41" i="1" l="1"/>
  <c r="E41" i="1"/>
  <c r="G41" i="1" s="1"/>
  <c r="C42" i="1" s="1"/>
  <c r="D42" i="1" l="1"/>
  <c r="E42" i="1" s="1"/>
  <c r="F41" i="1"/>
  <c r="F42" i="1" l="1"/>
  <c r="G42" i="1"/>
  <c r="C43" i="1" s="1"/>
  <c r="D43" i="1" l="1"/>
  <c r="E43" i="1" s="1"/>
  <c r="G43" i="1" s="1"/>
  <c r="F43" i="1" l="1"/>
</calcChain>
</file>

<file path=xl/sharedStrings.xml><?xml version="1.0" encoding="utf-8"?>
<sst xmlns="http://schemas.openxmlformats.org/spreadsheetml/2006/main" count="20" uniqueCount="20">
  <si>
    <t>Loan Amount</t>
  </si>
  <si>
    <t>Annual Interest Rate (%)</t>
  </si>
  <si>
    <t xml:space="preserve">Amortization Period (Years) </t>
  </si>
  <si>
    <t>Loan Term (Years)</t>
  </si>
  <si>
    <t>Interest-Only Period (Years)</t>
  </si>
  <si>
    <t xml:space="preserve">Payment Frequency </t>
  </si>
  <si>
    <t xml:space="preserve">Interest Rate Per Payment Period	</t>
  </si>
  <si>
    <t>Date of Payment</t>
  </si>
  <si>
    <t>Beginning Balance</t>
  </si>
  <si>
    <t>Interest Payment</t>
  </si>
  <si>
    <t xml:space="preserve">Principal Payment </t>
  </si>
  <si>
    <t>Total Payment</t>
  </si>
  <si>
    <t>Ending Balance</t>
  </si>
  <si>
    <t xml:space="preserve">Amortizing Period Payment: </t>
  </si>
  <si>
    <t>Remaining Amortization Period</t>
  </si>
  <si>
    <t>PMT NO.</t>
  </si>
  <si>
    <t>Interest-Only Period Payment:</t>
  </si>
  <si>
    <t xml:space="preserve">Yield </t>
  </si>
  <si>
    <t>SUMMARY</t>
  </si>
  <si>
    <t>Loan Amortization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</si>
</sst>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"/>
    <numFmt numFmtId="165" formatCode="&quot;$&quot;#,##0.00000000_);[Red]\(&quot;$&quot;#,##0.00000000\)"/>
  </numFmts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-webkit-standard"/>
    </font>
    <font>
      <sz val="12"/>
      <color rgb="FF000000"/>
      <name val="Aptos Narrow"/>
      <scheme val="minor"/>
    </font>
    <font>
      <sz val="10"/>
      <color rgb="FF000000"/>
      <name val="Arial Unicode MS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-webkit-standard"/>
    </font>
    <font>
      <b/>
      <sz val="12"/>
      <color theme="2"/>
      <name val="Aptos Narrow"/>
      <scheme val="minor"/>
    </font>
    <font>
      <b/>
      <sz val="20"/>
      <color theme="2"/>
      <name val="Aptos Narrow"/>
      <scheme val="minor"/>
    </font>
    <font>
      <sz val="12"/>
      <color theme="2"/>
      <name val="Aptos Narrow"/>
      <scheme val="minor"/>
    </font>
    <font>
      <b/>
      <sz val="20"/>
      <color theme="2"/>
      <name val="-webkit-standard"/>
    </font>
    <font>
      <sz val="12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9"/>
      </bottom>
      <diagonal/>
    </border>
    <border>
      <left/>
      <right/>
      <top/>
      <bottom style="thin">
        <color theme="1"/>
      </bottom>
      <diagonal/>
    </border>
    <border>
      <left/>
      <right/>
      <top style="thick">
        <color theme="9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6" fillId="0" borderId="0" xfId="0" applyFont="1"/>
    <xf numFmtId="8" fontId="6" fillId="0" borderId="0" xfId="0" applyNumberFormat="1" applyFont="1"/>
    <xf numFmtId="15" fontId="6" fillId="0" borderId="0" xfId="0" applyNumberFormat="1" applyFont="1"/>
    <xf numFmtId="8" fontId="2" fillId="0" borderId="0" xfId="0" applyNumberFormat="1" applyFont="1"/>
    <xf numFmtId="44" fontId="6" fillId="0" borderId="0" xfId="1" applyFont="1"/>
    <xf numFmtId="0" fontId="3" fillId="0" borderId="0" xfId="0" applyFont="1" applyAlignment="1">
      <alignment horizontal="left" vertical="top" indent="2"/>
    </xf>
    <xf numFmtId="165" fontId="6" fillId="0" borderId="0" xfId="0" applyNumberFormat="1" applyFont="1"/>
    <xf numFmtId="9" fontId="2" fillId="0" borderId="0" xfId="2" applyFont="1"/>
    <xf numFmtId="8" fontId="4" fillId="0" borderId="0" xfId="0" applyNumberFormat="1" applyFont="1"/>
    <xf numFmtId="0" fontId="0" fillId="3" borderId="0" xfId="0" applyFill="1"/>
    <xf numFmtId="15" fontId="6" fillId="3" borderId="0" xfId="0" applyNumberFormat="1" applyFont="1" applyFill="1"/>
    <xf numFmtId="8" fontId="6" fillId="3" borderId="0" xfId="0" applyNumberFormat="1" applyFont="1" applyFill="1"/>
    <xf numFmtId="44" fontId="6" fillId="3" borderId="0" xfId="1" applyFont="1" applyFill="1" applyBorder="1"/>
    <xf numFmtId="8" fontId="8" fillId="3" borderId="0" xfId="0" applyNumberFormat="1" applyFont="1" applyFill="1"/>
    <xf numFmtId="0" fontId="0" fillId="4" borderId="0" xfId="0" applyFill="1"/>
    <xf numFmtId="15" fontId="6" fillId="4" borderId="0" xfId="0" applyNumberFormat="1" applyFont="1" applyFill="1"/>
    <xf numFmtId="8" fontId="6" fillId="4" borderId="0" xfId="0" applyNumberFormat="1" applyFont="1" applyFill="1"/>
    <xf numFmtId="44" fontId="6" fillId="4" borderId="0" xfId="1" applyFont="1" applyFill="1" applyBorder="1"/>
    <xf numFmtId="8" fontId="8" fillId="4" borderId="0" xfId="0" applyNumberFormat="1" applyFont="1" applyFill="1"/>
    <xf numFmtId="0" fontId="0" fillId="3" borderId="1" xfId="0" applyFill="1" applyBorder="1"/>
    <xf numFmtId="15" fontId="6" fillId="3" borderId="1" xfId="0" applyNumberFormat="1" applyFont="1" applyFill="1" applyBorder="1"/>
    <xf numFmtId="8" fontId="6" fillId="3" borderId="1" xfId="0" applyNumberFormat="1" applyFont="1" applyFill="1" applyBorder="1"/>
    <xf numFmtId="44" fontId="6" fillId="3" borderId="1" xfId="1" applyFont="1" applyFill="1" applyBorder="1"/>
    <xf numFmtId="8" fontId="8" fillId="3" borderId="1" xfId="0" applyNumberFormat="1" applyFont="1" applyFill="1" applyBorder="1"/>
    <xf numFmtId="0" fontId="0" fillId="4" borderId="1" xfId="0" applyFill="1" applyBorder="1"/>
    <xf numFmtId="15" fontId="6" fillId="4" borderId="1" xfId="0" applyNumberFormat="1" applyFont="1" applyFill="1" applyBorder="1"/>
    <xf numFmtId="8" fontId="6" fillId="4" borderId="1" xfId="0" applyNumberFormat="1" applyFont="1" applyFill="1" applyBorder="1"/>
    <xf numFmtId="44" fontId="6" fillId="4" borderId="1" xfId="1" applyFont="1" applyFill="1" applyBorder="1"/>
    <xf numFmtId="8" fontId="8" fillId="4" borderId="1" xfId="0" applyNumberFormat="1" applyFont="1" applyFill="1" applyBorder="1"/>
    <xf numFmtId="0" fontId="9" fillId="2" borderId="2" xfId="0" applyFont="1" applyFill="1" applyBorder="1" applyAlignment="1">
      <alignment horizontal="left" vertical="top" indent="1"/>
    </xf>
    <xf numFmtId="0" fontId="9" fillId="2" borderId="2" xfId="0" applyFont="1" applyFill="1" applyBorder="1" applyAlignment="1">
      <alignment horizontal="left" vertical="top" indent="8"/>
    </xf>
    <xf numFmtId="0" fontId="9" fillId="2" borderId="2" xfId="0" applyFont="1" applyFill="1" applyBorder="1" applyAlignment="1">
      <alignment horizontal="left" vertical="top" indent="2"/>
    </xf>
    <xf numFmtId="6" fontId="3" fillId="0" borderId="0" xfId="0" applyNumberFormat="1" applyFont="1"/>
    <xf numFmtId="0" fontId="3" fillId="0" borderId="4" xfId="0" applyFont="1" applyBorder="1"/>
    <xf numFmtId="0" fontId="6" fillId="0" borderId="4" xfId="0" applyFont="1" applyBorder="1"/>
    <xf numFmtId="0" fontId="6" fillId="0" borderId="6" xfId="0" applyFont="1" applyBorder="1"/>
    <xf numFmtId="0" fontId="3" fillId="0" borderId="6" xfId="0" applyFont="1" applyBorder="1"/>
    <xf numFmtId="6" fontId="3" fillId="0" borderId="5" xfId="0" applyNumberFormat="1" applyFont="1" applyBorder="1"/>
    <xf numFmtId="0" fontId="7" fillId="0" borderId="7" xfId="0" applyFont="1" applyBorder="1"/>
    <xf numFmtId="0" fontId="5" fillId="0" borderId="8" xfId="0" applyFont="1" applyBorder="1"/>
    <xf numFmtId="10" fontId="0" fillId="0" borderId="9" xfId="2" applyNumberFormat="1" applyFont="1" applyBorder="1"/>
    <xf numFmtId="0" fontId="7" fillId="0" borderId="10" xfId="0" applyFont="1" applyBorder="1"/>
    <xf numFmtId="8" fontId="6" fillId="0" borderId="11" xfId="0" applyNumberFormat="1" applyFont="1" applyBorder="1"/>
    <xf numFmtId="164" fontId="6" fillId="0" borderId="11" xfId="0" applyNumberFormat="1" applyFont="1" applyBorder="1"/>
    <xf numFmtId="8" fontId="6" fillId="0" borderId="9" xfId="0" applyNumberFormat="1" applyFont="1" applyBorder="1"/>
    <xf numFmtId="0" fontId="5" fillId="0" borderId="10" xfId="0" applyFont="1" applyBorder="1"/>
    <xf numFmtId="0" fontId="6" fillId="0" borderId="9" xfId="0" applyFont="1" applyBorder="1"/>
    <xf numFmtId="0" fontId="10" fillId="2" borderId="0" xfId="0" applyFont="1" applyFill="1" applyAlignment="1">
      <alignment horizontal="left" indent="15"/>
    </xf>
    <xf numFmtId="0" fontId="11" fillId="2" borderId="0" xfId="0" applyFont="1" applyFill="1"/>
    <xf numFmtId="0" fontId="12" fillId="2" borderId="3" xfId="0" applyFont="1" applyFill="1" applyBorder="1" applyAlignment="1">
      <alignment horizontal="left" indent="2"/>
    </xf>
    <xf numFmtId="0" fontId="13" fillId="2" borderId="3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67A7-961E-D340-A4F2-F465345C434E}">
  <dimension ref="A1:L44"/>
  <sheetViews>
    <sheetView showGridLines="0" tabSelected="1" zoomScale="106" workbookViewId="0">
      <selection activeCell="K16" sqref="K16"/>
    </sheetView>
  </sheetViews>
  <sheetFormatPr baseColWidth="10" defaultRowHeight="16"/>
  <cols>
    <col min="2" max="2" width="30.83203125" customWidth="1"/>
    <col min="3" max="3" width="19" bestFit="1" customWidth="1"/>
    <col min="4" max="4" width="16.33203125" bestFit="1" customWidth="1"/>
    <col min="5" max="5" width="19.33203125" bestFit="1" customWidth="1"/>
    <col min="6" max="6" width="15" bestFit="1" customWidth="1"/>
    <col min="7" max="7" width="16" bestFit="1" customWidth="1"/>
    <col min="9" max="9" width="28.1640625" bestFit="1" customWidth="1"/>
    <col min="10" max="10" width="13" bestFit="1" customWidth="1"/>
    <col min="11" max="11" width="29.1640625" customWidth="1"/>
    <col min="12" max="12" width="13" bestFit="1" customWidth="1"/>
  </cols>
  <sheetData>
    <row r="1" spans="2:12" ht="27" thickBot="1">
      <c r="B1" s="51" t="s">
        <v>19</v>
      </c>
      <c r="C1" s="52"/>
    </row>
    <row r="2" spans="2:12" ht="28" thickTop="1">
      <c r="B2" s="36" t="s">
        <v>0</v>
      </c>
      <c r="C2" s="39">
        <v>200000</v>
      </c>
      <c r="D2" s="2"/>
      <c r="E2" s="2"/>
      <c r="F2" s="2"/>
      <c r="G2" s="2"/>
      <c r="H2" s="2"/>
      <c r="I2" s="49" t="s">
        <v>18</v>
      </c>
      <c r="J2" s="50"/>
      <c r="K2" s="2"/>
      <c r="L2" s="2"/>
    </row>
    <row r="3" spans="2:12">
      <c r="B3" s="35" t="s">
        <v>1</v>
      </c>
      <c r="C3" s="35">
        <v>5</v>
      </c>
      <c r="D3" s="2"/>
      <c r="E3" s="2"/>
      <c r="F3" s="2"/>
      <c r="G3" s="2"/>
      <c r="H3" s="2"/>
      <c r="I3" s="43" t="s">
        <v>16</v>
      </c>
      <c r="J3" s="44">
        <f>C2*(C3/100)/C7</f>
        <v>833.33333333333337</v>
      </c>
      <c r="K3" s="2"/>
      <c r="L3" s="2"/>
    </row>
    <row r="4" spans="2:12">
      <c r="B4" s="37" t="s">
        <v>2</v>
      </c>
      <c r="C4" s="38">
        <v>30</v>
      </c>
      <c r="D4" s="2"/>
      <c r="E4" s="2"/>
      <c r="F4" s="2"/>
      <c r="G4" s="2"/>
      <c r="H4" s="2"/>
      <c r="I4" s="41" t="s">
        <v>13</v>
      </c>
      <c r="J4" s="46">
        <f>PMT(J5%,J6,-C2)</f>
        <v>1073.6432460242781</v>
      </c>
      <c r="K4" s="2"/>
      <c r="L4" s="2"/>
    </row>
    <row r="5" spans="2:12">
      <c r="B5" s="36" t="s">
        <v>3</v>
      </c>
      <c r="C5" s="35">
        <v>15</v>
      </c>
      <c r="D5" s="2"/>
      <c r="E5" s="2"/>
      <c r="F5" s="2"/>
      <c r="G5" s="2"/>
      <c r="H5" s="2"/>
      <c r="I5" s="47" t="s">
        <v>6</v>
      </c>
      <c r="J5" s="45">
        <f>C3 / C7</f>
        <v>0.41666666666666669</v>
      </c>
      <c r="K5" s="2"/>
      <c r="L5" s="2"/>
    </row>
    <row r="6" spans="2:12">
      <c r="B6" s="36" t="s">
        <v>4</v>
      </c>
      <c r="C6" s="35">
        <v>0</v>
      </c>
      <c r="E6" s="2"/>
      <c r="F6" s="2"/>
      <c r="G6" s="2"/>
      <c r="H6" s="2"/>
      <c r="I6" s="40" t="s">
        <v>14</v>
      </c>
      <c r="J6" s="48">
        <f>(C4-C6)*C7</f>
        <v>360</v>
      </c>
      <c r="K6" s="2"/>
      <c r="L6" s="2"/>
    </row>
    <row r="7" spans="2:12">
      <c r="B7" s="36" t="s">
        <v>5</v>
      </c>
      <c r="C7" s="35">
        <v>12</v>
      </c>
      <c r="D7" s="2"/>
      <c r="E7" s="2"/>
      <c r="F7" s="2"/>
      <c r="G7" s="2"/>
      <c r="H7" s="2"/>
      <c r="I7" s="47" t="s">
        <v>17</v>
      </c>
      <c r="J7" s="42">
        <f>K7*12</f>
        <v>-5.4265793789378097E-2</v>
      </c>
      <c r="K7" s="8">
        <f>RATE(C5 * 12, -J4, C2)*12</f>
        <v>-4.5221494824481748E-3</v>
      </c>
    </row>
    <row r="8" spans="2:12" ht="18">
      <c r="B8" s="2"/>
      <c r="C8" s="34"/>
      <c r="D8" s="2"/>
      <c r="E8" s="2"/>
      <c r="F8" s="2"/>
      <c r="G8" s="2"/>
      <c r="H8" s="2"/>
      <c r="I8" s="2"/>
      <c r="J8" s="5"/>
      <c r="K8" s="2"/>
      <c r="L8" s="2"/>
    </row>
    <row r="9" spans="2:12">
      <c r="B9" s="2"/>
      <c r="C9" s="2"/>
      <c r="D9" s="2"/>
      <c r="E9" s="2"/>
      <c r="F9" s="2"/>
      <c r="G9" s="2"/>
      <c r="H9" s="2"/>
      <c r="I9" s="2"/>
      <c r="J9" s="3"/>
      <c r="K9" s="2"/>
      <c r="L9" s="2"/>
    </row>
    <row r="10" spans="2:12" ht="17">
      <c r="B10" s="2"/>
      <c r="C10" s="2"/>
      <c r="D10" s="2"/>
      <c r="E10" s="2"/>
      <c r="F10" s="2"/>
      <c r="G10" s="2"/>
      <c r="H10" s="2"/>
      <c r="I10" s="10"/>
      <c r="J10" s="2"/>
      <c r="K10" s="2"/>
      <c r="L10" s="2"/>
    </row>
    <row r="11" spans="2:12" ht="18">
      <c r="B11" s="1"/>
      <c r="C11" s="1"/>
      <c r="D11" s="2"/>
      <c r="E11" s="2"/>
      <c r="F11" s="2"/>
      <c r="G11" s="2"/>
      <c r="H11" s="2"/>
      <c r="I11" s="2"/>
      <c r="J11" s="9"/>
      <c r="K11" s="2"/>
      <c r="L11" s="2"/>
    </row>
    <row r="12" spans="2:12">
      <c r="D12" s="2"/>
      <c r="E12" s="2"/>
      <c r="F12" s="2"/>
      <c r="G12" s="2"/>
      <c r="H12" s="2"/>
      <c r="I12" s="2"/>
      <c r="J12" s="2"/>
      <c r="K12" s="2"/>
      <c r="L12" s="2"/>
    </row>
    <row r="13" spans="2:12">
      <c r="D13" s="2"/>
      <c r="E13" s="2"/>
      <c r="F13" s="2"/>
      <c r="G13" s="2"/>
      <c r="H13" s="2"/>
      <c r="I13" s="2"/>
      <c r="J13" s="2"/>
      <c r="K13" s="2"/>
      <c r="L13" s="2"/>
    </row>
    <row r="14" spans="2:1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ht="24" customHeight="1"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</row>
    <row r="16" spans="2:12">
      <c r="B16" s="4"/>
      <c r="C16" s="2"/>
      <c r="D16" s="2"/>
      <c r="E16" s="2"/>
      <c r="G16" s="2"/>
      <c r="H16" s="2"/>
      <c r="I16" s="2"/>
      <c r="J16" s="2"/>
      <c r="K16" s="2"/>
      <c r="L16" s="2"/>
    </row>
    <row r="17" spans="1:12"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31" t="s">
        <v>15</v>
      </c>
      <c r="B20" s="32" t="s">
        <v>7</v>
      </c>
      <c r="C20" s="33" t="s">
        <v>8</v>
      </c>
      <c r="D20" s="31" t="s">
        <v>9</v>
      </c>
      <c r="E20" s="33" t="s">
        <v>10</v>
      </c>
      <c r="F20" s="31" t="s">
        <v>11</v>
      </c>
      <c r="G20" s="33" t="s">
        <v>12</v>
      </c>
      <c r="H20" s="7"/>
      <c r="I20" s="2"/>
      <c r="J20" s="2"/>
      <c r="K20" s="2"/>
      <c r="L20" s="2"/>
    </row>
    <row r="21" spans="1:12" ht="18">
      <c r="A21" s="11">
        <v>1</v>
      </c>
      <c r="B21" s="12">
        <v>44927</v>
      </c>
      <c r="C21" s="13">
        <f>C2</f>
        <v>200000</v>
      </c>
      <c r="D21" s="14">
        <f>IF(C21 &gt; 0, C21 * ($C$3 / 100 / 12), "")</f>
        <v>833.33333333333337</v>
      </c>
      <c r="E21" s="15">
        <f>IF(C21 &gt; 0, $J$4 - D21, "")</f>
        <v>240.30991269094477</v>
      </c>
      <c r="F21" s="14">
        <f>IF(C21 &gt; 0, $J$4, "")</f>
        <v>1073.6432460242781</v>
      </c>
      <c r="G21" s="13">
        <f>C21-E21</f>
        <v>199759.69008730905</v>
      </c>
      <c r="H21" s="5"/>
      <c r="I21" s="2"/>
      <c r="J21" s="2"/>
      <c r="K21" s="3"/>
      <c r="L21" s="2"/>
    </row>
    <row r="22" spans="1:12" ht="18">
      <c r="A22" s="16">
        <v>2</v>
      </c>
      <c r="B22" s="17">
        <f>EDATE(B21,1)</f>
        <v>44958</v>
      </c>
      <c r="C22" s="18">
        <f>IF(G21 &gt; 0, G21, "")</f>
        <v>199759.69008730905</v>
      </c>
      <c r="D22" s="19">
        <f t="shared" ref="D22" si="0">IF(C22 &gt; 0, C22 * ($C$3 / 100 / 12), "")</f>
        <v>832.33204203045432</v>
      </c>
      <c r="E22" s="20">
        <f t="shared" ref="E22:E43" si="1">IF(C22 &gt; 0, $J$4 - D22, "")</f>
        <v>241.31120399382382</v>
      </c>
      <c r="F22" s="19">
        <f>D22 + E22</f>
        <v>1073.6432460242781</v>
      </c>
      <c r="G22" s="18">
        <f>C22-E22</f>
        <v>199518.37888331522</v>
      </c>
      <c r="H22" s="5"/>
      <c r="I22" s="2"/>
      <c r="J22" s="2"/>
      <c r="K22" s="2"/>
      <c r="L22" s="2"/>
    </row>
    <row r="23" spans="1:12" ht="18">
      <c r="A23" s="11">
        <v>3</v>
      </c>
      <c r="B23" s="12">
        <f t="shared" ref="B23:B43" si="2">EDATE(B22,1)</f>
        <v>44986</v>
      </c>
      <c r="C23" s="13">
        <f>IF(G22 &gt; 0, G22, "")</f>
        <v>199518.37888331522</v>
      </c>
      <c r="D23" s="14">
        <f>IF(C23 &gt; 0, C23 * ($C$3 / 100 / 12), "")</f>
        <v>831.32657868048011</v>
      </c>
      <c r="E23" s="15">
        <f t="shared" si="1"/>
        <v>242.31666734379803</v>
      </c>
      <c r="F23" s="14">
        <f t="shared" ref="F23:F43" si="3">D23 + E23</f>
        <v>1073.6432460242781</v>
      </c>
      <c r="G23" s="13">
        <f>C23-E23</f>
        <v>199276.06221597141</v>
      </c>
      <c r="H23" s="5"/>
      <c r="I23" s="2"/>
      <c r="J23" s="2"/>
      <c r="K23" s="2"/>
      <c r="L23" s="2"/>
    </row>
    <row r="24" spans="1:12" ht="18">
      <c r="A24" s="16">
        <v>4</v>
      </c>
      <c r="B24" s="17">
        <f t="shared" si="2"/>
        <v>45017</v>
      </c>
      <c r="C24" s="18">
        <f>IF(G23 &gt; 0, G23, "")</f>
        <v>199276.06221597141</v>
      </c>
      <c r="D24" s="19">
        <f>IF(C24 &gt; 0, C24 * ($C$3 / 100 / 12), "")</f>
        <v>830.31692589988086</v>
      </c>
      <c r="E24" s="20">
        <f t="shared" si="1"/>
        <v>243.32632012439728</v>
      </c>
      <c r="F24" s="19">
        <f t="shared" si="3"/>
        <v>1073.6432460242781</v>
      </c>
      <c r="G24" s="18">
        <f>C24-E24</f>
        <v>199032.735895847</v>
      </c>
      <c r="H24" s="5"/>
      <c r="I24" s="2"/>
      <c r="J24" s="2"/>
      <c r="K24" s="2"/>
      <c r="L24" s="2"/>
    </row>
    <row r="25" spans="1:12" ht="18">
      <c r="A25" s="11">
        <v>5</v>
      </c>
      <c r="B25" s="12">
        <f t="shared" si="2"/>
        <v>45047</v>
      </c>
      <c r="C25" s="13">
        <f t="shared" ref="C25:C43" si="4">IF(G24 &gt; 0, G24, "")</f>
        <v>199032.735895847</v>
      </c>
      <c r="D25" s="14">
        <f>IF(C25 &gt; 0, C25 * ($C$3 / 100 / 12), "")</f>
        <v>829.30306623269587</v>
      </c>
      <c r="E25" s="15">
        <f t="shared" si="1"/>
        <v>244.34017979158227</v>
      </c>
      <c r="F25" s="14">
        <f t="shared" si="3"/>
        <v>1073.6432460242781</v>
      </c>
      <c r="G25" s="13">
        <f>C25-E25</f>
        <v>198788.39571605541</v>
      </c>
      <c r="H25" s="5"/>
    </row>
    <row r="26" spans="1:12" ht="18">
      <c r="A26" s="16">
        <v>6</v>
      </c>
      <c r="B26" s="17">
        <f t="shared" si="2"/>
        <v>45078</v>
      </c>
      <c r="C26" s="18">
        <f t="shared" si="4"/>
        <v>198788.39571605541</v>
      </c>
      <c r="D26" s="19">
        <f t="shared" ref="D26:D44" si="5">IF(C26 &gt; 0, C26 * ($C$3 / 100 / 12), "")</f>
        <v>828.28498215023092</v>
      </c>
      <c r="E26" s="20">
        <f t="shared" si="1"/>
        <v>245.35826387404722</v>
      </c>
      <c r="F26" s="19">
        <f t="shared" si="3"/>
        <v>1073.6432460242781</v>
      </c>
      <c r="G26" s="18">
        <f t="shared" ref="G26:G43" si="6">C26-E26</f>
        <v>198543.03745218136</v>
      </c>
      <c r="H26" s="5"/>
    </row>
    <row r="27" spans="1:12" ht="18">
      <c r="A27" s="11">
        <v>7</v>
      </c>
      <c r="B27" s="12">
        <f t="shared" si="2"/>
        <v>45108</v>
      </c>
      <c r="C27" s="13">
        <f>IF(G25 &gt; 0, G25, "")</f>
        <v>198788.39571605541</v>
      </c>
      <c r="D27" s="14">
        <f t="shared" si="5"/>
        <v>828.28498215023092</v>
      </c>
      <c r="E27" s="15">
        <f t="shared" si="1"/>
        <v>245.35826387404722</v>
      </c>
      <c r="F27" s="14">
        <f t="shared" si="3"/>
        <v>1073.6432460242781</v>
      </c>
      <c r="G27" s="13">
        <f t="shared" si="6"/>
        <v>198543.03745218136</v>
      </c>
      <c r="H27" s="5"/>
    </row>
    <row r="28" spans="1:12" ht="18">
      <c r="A28" s="16">
        <v>8</v>
      </c>
      <c r="B28" s="17">
        <f t="shared" si="2"/>
        <v>45139</v>
      </c>
      <c r="C28" s="18">
        <f t="shared" si="4"/>
        <v>198543.03745218136</v>
      </c>
      <c r="D28" s="19">
        <f t="shared" si="5"/>
        <v>827.26265605075571</v>
      </c>
      <c r="E28" s="20">
        <f t="shared" si="1"/>
        <v>246.38058997352243</v>
      </c>
      <c r="F28" s="19">
        <f t="shared" si="3"/>
        <v>1073.6432460242781</v>
      </c>
      <c r="G28" s="18">
        <f t="shared" si="6"/>
        <v>198296.65686220783</v>
      </c>
      <c r="H28" s="5"/>
    </row>
    <row r="29" spans="1:12" ht="18">
      <c r="A29" s="11">
        <v>9</v>
      </c>
      <c r="B29" s="12">
        <f t="shared" si="2"/>
        <v>45170</v>
      </c>
      <c r="C29" s="13">
        <f t="shared" si="4"/>
        <v>198296.65686220783</v>
      </c>
      <c r="D29" s="14">
        <f t="shared" si="5"/>
        <v>826.23607025919932</v>
      </c>
      <c r="E29" s="15">
        <f t="shared" si="1"/>
        <v>247.40717576507882</v>
      </c>
      <c r="F29" s="14">
        <f t="shared" si="3"/>
        <v>1073.6432460242781</v>
      </c>
      <c r="G29" s="13">
        <f t="shared" si="6"/>
        <v>198049.24968644275</v>
      </c>
      <c r="H29" s="5"/>
    </row>
    <row r="30" spans="1:12" ht="18">
      <c r="A30" s="16">
        <v>10</v>
      </c>
      <c r="B30" s="17">
        <f t="shared" si="2"/>
        <v>45200</v>
      </c>
      <c r="C30" s="18">
        <f t="shared" si="4"/>
        <v>198049.24968644275</v>
      </c>
      <c r="D30" s="19">
        <f t="shared" si="5"/>
        <v>825.20520702684473</v>
      </c>
      <c r="E30" s="20">
        <f t="shared" si="1"/>
        <v>248.43803899743341</v>
      </c>
      <c r="F30" s="19">
        <f t="shared" si="3"/>
        <v>1073.6432460242781</v>
      </c>
      <c r="G30" s="18">
        <f t="shared" si="6"/>
        <v>197800.81164744531</v>
      </c>
      <c r="H30" s="5"/>
    </row>
    <row r="31" spans="1:12" ht="18">
      <c r="A31" s="11">
        <v>11</v>
      </c>
      <c r="B31" s="12">
        <f>EDATE(B30,1)</f>
        <v>45231</v>
      </c>
      <c r="C31" s="13">
        <f t="shared" si="4"/>
        <v>197800.81164744531</v>
      </c>
      <c r="D31" s="14">
        <f t="shared" si="5"/>
        <v>824.17004853102208</v>
      </c>
      <c r="E31" s="15">
        <f t="shared" si="1"/>
        <v>249.47319749325607</v>
      </c>
      <c r="F31" s="14">
        <f t="shared" si="3"/>
        <v>1073.6432460242781</v>
      </c>
      <c r="G31" s="13">
        <f t="shared" si="6"/>
        <v>197551.33844995205</v>
      </c>
      <c r="H31" s="5"/>
    </row>
    <row r="32" spans="1:12" ht="18">
      <c r="A32" s="16">
        <v>12</v>
      </c>
      <c r="B32" s="17">
        <f t="shared" si="2"/>
        <v>45261</v>
      </c>
      <c r="C32" s="18">
        <f t="shared" si="4"/>
        <v>197551.33844995205</v>
      </c>
      <c r="D32" s="19">
        <f t="shared" si="5"/>
        <v>823.13057687480023</v>
      </c>
      <c r="E32" s="20">
        <f t="shared" si="1"/>
        <v>250.51266914947792</v>
      </c>
      <c r="F32" s="19">
        <f t="shared" si="3"/>
        <v>1073.6432460242781</v>
      </c>
      <c r="G32" s="18">
        <f t="shared" si="6"/>
        <v>197300.82578080258</v>
      </c>
      <c r="H32" s="5"/>
    </row>
    <row r="33" spans="1:8" ht="18">
      <c r="A33" s="11">
        <v>13</v>
      </c>
      <c r="B33" s="12">
        <f t="shared" si="2"/>
        <v>45292</v>
      </c>
      <c r="C33" s="13">
        <f t="shared" si="4"/>
        <v>197300.82578080258</v>
      </c>
      <c r="D33" s="14">
        <f t="shared" si="5"/>
        <v>822.08677408667745</v>
      </c>
      <c r="E33" s="15">
        <f t="shared" si="1"/>
        <v>251.55647193760069</v>
      </c>
      <c r="F33" s="14">
        <f t="shared" si="3"/>
        <v>1073.6432460242781</v>
      </c>
      <c r="G33" s="13">
        <f t="shared" si="6"/>
        <v>197049.26930886498</v>
      </c>
      <c r="H33" s="5"/>
    </row>
    <row r="34" spans="1:8" ht="18">
      <c r="A34" s="16">
        <v>14</v>
      </c>
      <c r="B34" s="17">
        <f t="shared" si="2"/>
        <v>45323</v>
      </c>
      <c r="C34" s="18">
        <f t="shared" si="4"/>
        <v>197049.26930886498</v>
      </c>
      <c r="D34" s="19">
        <f t="shared" si="5"/>
        <v>821.0386221202707</v>
      </c>
      <c r="E34" s="20">
        <f t="shared" si="1"/>
        <v>252.60462390400744</v>
      </c>
      <c r="F34" s="19">
        <f t="shared" si="3"/>
        <v>1073.6432460242781</v>
      </c>
      <c r="G34" s="18">
        <f t="shared" si="6"/>
        <v>196796.66468496097</v>
      </c>
      <c r="H34" s="5"/>
    </row>
    <row r="35" spans="1:8" ht="18">
      <c r="A35" s="11">
        <v>15</v>
      </c>
      <c r="B35" s="12">
        <f t="shared" si="2"/>
        <v>45352</v>
      </c>
      <c r="C35" s="13">
        <f t="shared" si="4"/>
        <v>196796.66468496097</v>
      </c>
      <c r="D35" s="14">
        <f t="shared" si="5"/>
        <v>819.986102854004</v>
      </c>
      <c r="E35" s="15">
        <f t="shared" si="1"/>
        <v>253.65714317027414</v>
      </c>
      <c r="F35" s="14">
        <f t="shared" si="3"/>
        <v>1073.6432460242781</v>
      </c>
      <c r="G35" s="13">
        <f t="shared" si="6"/>
        <v>196543.00754179069</v>
      </c>
      <c r="H35" s="5"/>
    </row>
    <row r="36" spans="1:8">
      <c r="A36" s="16">
        <v>16</v>
      </c>
      <c r="B36" s="17">
        <f>EDATE(B35,1)</f>
        <v>45383</v>
      </c>
      <c r="C36" s="18">
        <f t="shared" si="4"/>
        <v>196543.00754179069</v>
      </c>
      <c r="D36" s="19">
        <f t="shared" si="5"/>
        <v>818.92919809079456</v>
      </c>
      <c r="E36" s="20">
        <f t="shared" si="1"/>
        <v>254.71404793348358</v>
      </c>
      <c r="F36" s="19">
        <f t="shared" si="3"/>
        <v>1073.6432460242781</v>
      </c>
      <c r="G36" s="18">
        <f t="shared" si="6"/>
        <v>196288.2934938572</v>
      </c>
    </row>
    <row r="37" spans="1:8">
      <c r="A37" s="11">
        <v>17</v>
      </c>
      <c r="B37" s="12">
        <f t="shared" si="2"/>
        <v>45413</v>
      </c>
      <c r="C37" s="13">
        <f t="shared" si="4"/>
        <v>196288.2934938572</v>
      </c>
      <c r="D37" s="14">
        <f t="shared" si="5"/>
        <v>817.86788955773829</v>
      </c>
      <c r="E37" s="15">
        <f t="shared" si="1"/>
        <v>255.77535646653985</v>
      </c>
      <c r="F37" s="14">
        <f t="shared" si="3"/>
        <v>1073.6432460242781</v>
      </c>
      <c r="G37" s="13">
        <f t="shared" si="6"/>
        <v>196032.51813739067</v>
      </c>
    </row>
    <row r="38" spans="1:8">
      <c r="A38" s="16">
        <v>18</v>
      </c>
      <c r="B38" s="17">
        <f t="shared" si="2"/>
        <v>45444</v>
      </c>
      <c r="C38" s="18">
        <f t="shared" si="4"/>
        <v>196032.51813739067</v>
      </c>
      <c r="D38" s="19">
        <f t="shared" si="5"/>
        <v>816.80215890579439</v>
      </c>
      <c r="E38" s="20">
        <f t="shared" si="1"/>
        <v>256.84108711848376</v>
      </c>
      <c r="F38" s="19">
        <f t="shared" si="3"/>
        <v>1073.6432460242781</v>
      </c>
      <c r="G38" s="18">
        <f t="shared" si="6"/>
        <v>195775.67705027218</v>
      </c>
    </row>
    <row r="39" spans="1:8">
      <c r="A39" s="11">
        <v>19</v>
      </c>
      <c r="B39" s="12">
        <f t="shared" si="2"/>
        <v>45474</v>
      </c>
      <c r="C39" s="13">
        <f t="shared" si="4"/>
        <v>195775.67705027218</v>
      </c>
      <c r="D39" s="14">
        <f t="shared" si="5"/>
        <v>815.73198770946738</v>
      </c>
      <c r="E39" s="15">
        <f t="shared" si="1"/>
        <v>257.91125831481077</v>
      </c>
      <c r="F39" s="14">
        <f t="shared" si="3"/>
        <v>1073.6432460242781</v>
      </c>
      <c r="G39" s="13">
        <f t="shared" si="6"/>
        <v>195517.76579195735</v>
      </c>
    </row>
    <row r="40" spans="1:8">
      <c r="A40" s="16">
        <v>20</v>
      </c>
      <c r="B40" s="17">
        <f t="shared" si="2"/>
        <v>45505</v>
      </c>
      <c r="C40" s="18">
        <f t="shared" si="4"/>
        <v>195517.76579195735</v>
      </c>
      <c r="D40" s="19">
        <f t="shared" si="5"/>
        <v>814.65735746648897</v>
      </c>
      <c r="E40" s="20">
        <f t="shared" si="1"/>
        <v>258.98588855778917</v>
      </c>
      <c r="F40" s="19">
        <f t="shared" si="3"/>
        <v>1073.6432460242781</v>
      </c>
      <c r="G40" s="18">
        <f t="shared" si="6"/>
        <v>195258.77990339955</v>
      </c>
    </row>
    <row r="41" spans="1:8">
      <c r="A41" s="11">
        <v>21</v>
      </c>
      <c r="B41" s="12">
        <f t="shared" si="2"/>
        <v>45536</v>
      </c>
      <c r="C41" s="13">
        <f t="shared" si="4"/>
        <v>195258.77990339955</v>
      </c>
      <c r="D41" s="14">
        <f t="shared" si="5"/>
        <v>813.57824959749814</v>
      </c>
      <c r="E41" s="15">
        <f t="shared" si="1"/>
        <v>260.06499642678</v>
      </c>
      <c r="F41" s="14">
        <f t="shared" si="3"/>
        <v>1073.6432460242781</v>
      </c>
      <c r="G41" s="13">
        <f t="shared" si="6"/>
        <v>194998.71490697277</v>
      </c>
    </row>
    <row r="42" spans="1:8">
      <c r="A42" s="26">
        <v>22</v>
      </c>
      <c r="B42" s="27">
        <f t="shared" si="2"/>
        <v>45566</v>
      </c>
      <c r="C42" s="28">
        <f t="shared" si="4"/>
        <v>194998.71490697277</v>
      </c>
      <c r="D42" s="29">
        <f t="shared" si="5"/>
        <v>812.49464544571993</v>
      </c>
      <c r="E42" s="30">
        <f t="shared" si="1"/>
        <v>261.14860057855822</v>
      </c>
      <c r="F42" s="29">
        <f t="shared" si="3"/>
        <v>1073.6432460242781</v>
      </c>
      <c r="G42" s="28">
        <f t="shared" si="6"/>
        <v>194737.5663063942</v>
      </c>
    </row>
    <row r="43" spans="1:8">
      <c r="A43" s="21">
        <v>22</v>
      </c>
      <c r="B43" s="22">
        <f t="shared" si="2"/>
        <v>45597</v>
      </c>
      <c r="C43" s="23">
        <f t="shared" si="4"/>
        <v>194737.5663063942</v>
      </c>
      <c r="D43" s="24">
        <f t="shared" si="5"/>
        <v>811.40652627664247</v>
      </c>
      <c r="E43" s="25">
        <f t="shared" si="1"/>
        <v>262.23671974763568</v>
      </c>
      <c r="F43" s="24">
        <f t="shared" si="3"/>
        <v>1073.6432460242781</v>
      </c>
      <c r="G43" s="23">
        <f t="shared" si="6"/>
        <v>194475.32958664658</v>
      </c>
    </row>
    <row r="44" spans="1:8">
      <c r="D44" s="6" t="str">
        <f t="shared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TANJIM ISLAM</dc:creator>
  <cp:lastModifiedBy>TANJIM ISLAM</cp:lastModifiedBy>
  <dcterms:created xsi:type="dcterms:W3CDTF">2024-11-03T19:31:36Z</dcterms:created>
  <dcterms:modified xsi:type="dcterms:W3CDTF">2025-09-12T19:50:50Z</dcterms:modified>
</cp:coreProperties>
</file>