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baruchmailcuny-my.sharepoint.com/personal/tanjim_islam_baruchmail_cuny_edu/Documents/"/>
    </mc:Choice>
  </mc:AlternateContent>
  <xr:revisionPtr revIDLastSave="0" documentId="8_{1C0470D9-E4AD-4685-8A73-6FDA311144F1}" xr6:coauthVersionLast="47" xr6:coauthVersionMax="47" xr10:uidLastSave="{00000000-0000-0000-0000-000000000000}"/>
  <bookViews>
    <workbookView xWindow="4960" yWindow="4280" windowWidth="14820" windowHeight="13480" firstSheet="3" activeTab="3" xr2:uid="{3704CBA1-DF85-DC44-8D1E-313331F4E09B}"/>
  </bookViews>
  <sheets>
    <sheet name="Tenant Data" sheetId="3" r:id="rId1"/>
    <sheet name="Monthly Proforma" sheetId="1" r:id="rId2"/>
    <sheet name="Annual Proforma" sheetId="2" r:id="rId3"/>
    <sheet name="Expens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D54" i="1"/>
  <c r="D70" i="1"/>
  <c r="D57" i="1"/>
  <c r="D62" i="1"/>
  <c r="D59" i="1"/>
  <c r="D47" i="1"/>
  <c r="C2" i="1"/>
  <c r="O8" i="1"/>
  <c r="H8" i="1"/>
  <c r="G8" i="1"/>
  <c r="I6" i="1"/>
  <c r="H4" i="1"/>
  <c r="G2" i="1"/>
  <c r="F2" i="1"/>
  <c r="E2" i="1"/>
  <c r="D2" i="1"/>
  <c r="E45" i="1"/>
  <c r="B9" i="4"/>
  <c r="D2" i="2"/>
  <c r="H2" i="1"/>
  <c r="F5" i="1"/>
  <c r="N2" i="1"/>
  <c r="C5" i="2"/>
  <c r="C5" i="1"/>
  <c r="C3" i="1"/>
  <c r="B9" i="2"/>
  <c r="G13" i="2"/>
  <c r="G9" i="2"/>
  <c r="F9" i="2"/>
  <c r="E9" i="2"/>
  <c r="D9" i="2"/>
  <c r="C9" i="2"/>
  <c r="G5" i="2"/>
  <c r="F5" i="2"/>
  <c r="E5" i="2"/>
  <c r="D5" i="2"/>
  <c r="B5" i="2"/>
  <c r="N27" i="1"/>
  <c r="N26" i="1"/>
  <c r="N25" i="1"/>
  <c r="H52" i="1"/>
  <c r="H37" i="1"/>
  <c r="H38" i="1"/>
  <c r="H68" i="1"/>
  <c r="F42" i="1"/>
  <c r="F43" i="1"/>
  <c r="F44" i="1"/>
  <c r="F45" i="1"/>
  <c r="F46" i="1"/>
  <c r="F47" i="1"/>
  <c r="L47" i="1" s="1"/>
  <c r="F48" i="1"/>
  <c r="F49" i="1"/>
  <c r="F50" i="1"/>
  <c r="F51" i="1"/>
  <c r="F52" i="1"/>
  <c r="F53" i="1"/>
  <c r="F54" i="1"/>
  <c r="L54" i="1" s="1"/>
  <c r="F55" i="1"/>
  <c r="F56" i="1"/>
  <c r="F57" i="1"/>
  <c r="F58" i="1"/>
  <c r="F59" i="1"/>
  <c r="F60" i="1"/>
  <c r="F61" i="1"/>
  <c r="L61" i="1" s="1"/>
  <c r="F62" i="1"/>
  <c r="F63" i="1"/>
  <c r="F64" i="1"/>
  <c r="F65" i="1"/>
  <c r="F66" i="1"/>
  <c r="F67" i="1"/>
  <c r="F68" i="1"/>
  <c r="F69" i="1"/>
  <c r="F70" i="1"/>
  <c r="F71" i="1"/>
  <c r="F72" i="1"/>
  <c r="F73" i="1"/>
  <c r="F3" i="1"/>
  <c r="F4" i="1"/>
  <c r="F6" i="1"/>
  <c r="F7" i="1"/>
  <c r="F8" i="1"/>
  <c r="F9" i="1"/>
  <c r="F10" i="1"/>
  <c r="F11" i="1"/>
  <c r="F12" i="1"/>
  <c r="F13" i="1"/>
  <c r="F14" i="1"/>
  <c r="F15" i="1"/>
  <c r="L15" i="1" s="1"/>
  <c r="F16" i="1"/>
  <c r="L16" i="1" s="1"/>
  <c r="F17" i="1"/>
  <c r="F18" i="1"/>
  <c r="F19" i="1"/>
  <c r="F20" i="1"/>
  <c r="F21" i="1"/>
  <c r="F22" i="1"/>
  <c r="F23" i="1"/>
  <c r="L23" i="1" s="1"/>
  <c r="F24" i="1"/>
  <c r="L24" i="1" s="1"/>
  <c r="F25" i="1"/>
  <c r="F26" i="1"/>
  <c r="F27" i="1"/>
  <c r="F28" i="1"/>
  <c r="F29" i="1"/>
  <c r="F30" i="1"/>
  <c r="F31" i="1"/>
  <c r="L31" i="1" s="1"/>
  <c r="F32" i="1"/>
  <c r="L32" i="1" s="1"/>
  <c r="F33" i="1"/>
  <c r="F34" i="1"/>
  <c r="F35" i="1"/>
  <c r="F36" i="1"/>
  <c r="F37" i="1"/>
  <c r="F38" i="1"/>
  <c r="L38" i="1" s="1"/>
  <c r="F39" i="1"/>
  <c r="F40" i="1"/>
  <c r="L40" i="1" s="1"/>
  <c r="F41" i="1"/>
  <c r="N62" i="1"/>
  <c r="N63" i="1"/>
  <c r="N64" i="1"/>
  <c r="N65" i="1"/>
  <c r="N66" i="1"/>
  <c r="N67" i="1"/>
  <c r="N68" i="1"/>
  <c r="N69" i="1"/>
  <c r="N70" i="1"/>
  <c r="N71" i="1"/>
  <c r="N72" i="1"/>
  <c r="N73" i="1"/>
  <c r="L62" i="1"/>
  <c r="L63" i="1"/>
  <c r="L64" i="1"/>
  <c r="L65" i="1"/>
  <c r="L66" i="1"/>
  <c r="L67" i="1"/>
  <c r="L68" i="1"/>
  <c r="L69" i="1"/>
  <c r="L70" i="1"/>
  <c r="L71" i="1"/>
  <c r="L72" i="1"/>
  <c r="L73" i="1"/>
  <c r="H61" i="1"/>
  <c r="H62" i="1"/>
  <c r="H63" i="1"/>
  <c r="H64" i="1"/>
  <c r="H65" i="1"/>
  <c r="H66" i="1"/>
  <c r="H67" i="1"/>
  <c r="H69" i="1"/>
  <c r="H70" i="1"/>
  <c r="H71" i="1"/>
  <c r="H72" i="1"/>
  <c r="H73" i="1"/>
  <c r="E63" i="1"/>
  <c r="E64" i="1"/>
  <c r="E65" i="1"/>
  <c r="E66" i="1"/>
  <c r="E67" i="1"/>
  <c r="E68" i="1"/>
  <c r="E69" i="1"/>
  <c r="E70" i="1"/>
  <c r="E71" i="1"/>
  <c r="E72" i="1"/>
  <c r="E73" i="1"/>
  <c r="E62" i="1"/>
  <c r="H3" i="1"/>
  <c r="H5" i="1"/>
  <c r="H6" i="1"/>
  <c r="H7" i="1"/>
  <c r="H9" i="1"/>
  <c r="H10" i="1"/>
  <c r="L11" i="1"/>
  <c r="H11" i="1"/>
  <c r="H12" i="1"/>
  <c r="H13" i="1"/>
  <c r="L14" i="1"/>
  <c r="H14" i="1"/>
  <c r="H15" i="1"/>
  <c r="H16" i="1"/>
  <c r="H17" i="1"/>
  <c r="H18" i="1"/>
  <c r="H19" i="1"/>
  <c r="H20" i="1"/>
  <c r="H21" i="1"/>
  <c r="H22" i="1"/>
  <c r="H23" i="1"/>
  <c r="H24" i="1"/>
  <c r="L25" i="1"/>
  <c r="H25" i="1"/>
  <c r="H26" i="1"/>
  <c r="H27" i="1"/>
  <c r="H28" i="1"/>
  <c r="H29" i="1"/>
  <c r="L30" i="1"/>
  <c r="H30" i="1"/>
  <c r="H31" i="1"/>
  <c r="H32" i="1"/>
  <c r="H33" i="1"/>
  <c r="H34" i="1"/>
  <c r="H35" i="1"/>
  <c r="H36" i="1"/>
  <c r="H39" i="1"/>
  <c r="H40" i="1"/>
  <c r="L41" i="1"/>
  <c r="H41" i="1"/>
  <c r="H42" i="1"/>
  <c r="H43" i="1"/>
  <c r="H44" i="1"/>
  <c r="H45" i="1"/>
  <c r="H46" i="1"/>
  <c r="H47" i="1"/>
  <c r="H48" i="1"/>
  <c r="H49" i="1"/>
  <c r="H50" i="1"/>
  <c r="L51" i="1"/>
  <c r="H51" i="1"/>
  <c r="H53" i="1"/>
  <c r="H54" i="1"/>
  <c r="H55" i="1"/>
  <c r="L56" i="1"/>
  <c r="H56" i="1"/>
  <c r="H57" i="1"/>
  <c r="H58" i="1"/>
  <c r="H59" i="1"/>
  <c r="H60" i="1"/>
  <c r="D63" i="1"/>
  <c r="D64" i="1"/>
  <c r="D65" i="1"/>
  <c r="D66" i="1"/>
  <c r="D67" i="1"/>
  <c r="D68" i="1"/>
  <c r="D69" i="1"/>
  <c r="D71" i="1"/>
  <c r="D72" i="1"/>
  <c r="D73" i="1"/>
  <c r="L2" i="1"/>
  <c r="C62" i="1"/>
  <c r="C61" i="1"/>
  <c r="C63" i="1"/>
  <c r="C64" i="1"/>
  <c r="C65" i="1"/>
  <c r="C66" i="1"/>
  <c r="G66" i="1" s="1"/>
  <c r="I66" i="1" s="1"/>
  <c r="C67" i="1"/>
  <c r="G67" i="1" s="1"/>
  <c r="I67" i="1" s="1"/>
  <c r="C68" i="1"/>
  <c r="G68" i="1" s="1"/>
  <c r="I68" i="1" s="1"/>
  <c r="C69" i="1"/>
  <c r="C70" i="1"/>
  <c r="C71" i="1"/>
  <c r="C72" i="1"/>
  <c r="C73" i="1"/>
  <c r="N14" i="1"/>
  <c r="L9" i="1"/>
  <c r="L3" i="1"/>
  <c r="B6" i="3"/>
  <c r="N9" i="1"/>
  <c r="L58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44" i="1"/>
  <c r="L4" i="1"/>
  <c r="L22" i="1"/>
  <c r="D56" i="1"/>
  <c r="D51" i="1"/>
  <c r="D52" i="1"/>
  <c r="D53" i="1"/>
  <c r="D55" i="1"/>
  <c r="D58" i="1"/>
  <c r="D60" i="1"/>
  <c r="D61" i="1"/>
  <c r="D50" i="1"/>
  <c r="D39" i="1"/>
  <c r="D40" i="1"/>
  <c r="D41" i="1"/>
  <c r="D42" i="1"/>
  <c r="D43" i="1"/>
  <c r="D44" i="1"/>
  <c r="D45" i="1"/>
  <c r="D46" i="1"/>
  <c r="D48" i="1"/>
  <c r="D49" i="1"/>
  <c r="D38" i="1"/>
  <c r="D34" i="1"/>
  <c r="D35" i="1"/>
  <c r="D36" i="1"/>
  <c r="D37" i="1"/>
  <c r="D27" i="1"/>
  <c r="D28" i="1"/>
  <c r="D29" i="1"/>
  <c r="D30" i="1"/>
  <c r="D31" i="1"/>
  <c r="D32" i="1"/>
  <c r="D33" i="1"/>
  <c r="D26" i="1"/>
  <c r="D15" i="1"/>
  <c r="D16" i="1"/>
  <c r="D17" i="1"/>
  <c r="D18" i="1"/>
  <c r="D19" i="1"/>
  <c r="D20" i="1"/>
  <c r="D21" i="1"/>
  <c r="D22" i="1"/>
  <c r="D23" i="1"/>
  <c r="D24" i="1"/>
  <c r="D25" i="1"/>
  <c r="D14" i="1"/>
  <c r="D3" i="1"/>
  <c r="D4" i="1"/>
  <c r="D5" i="1"/>
  <c r="D6" i="1"/>
  <c r="D7" i="1"/>
  <c r="D8" i="1"/>
  <c r="D9" i="1"/>
  <c r="D10" i="1"/>
  <c r="D11" i="1"/>
  <c r="D12" i="1"/>
  <c r="D13" i="1"/>
  <c r="C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G38" i="1" s="1"/>
  <c r="I38" i="1" s="1"/>
  <c r="C39" i="1"/>
  <c r="C40" i="1"/>
  <c r="C41" i="1"/>
  <c r="G41" i="1" s="1"/>
  <c r="I41" i="1" s="1"/>
  <c r="J41" i="1" s="1"/>
  <c r="C42" i="1"/>
  <c r="G42" i="1" s="1"/>
  <c r="I42" i="1" s="1"/>
  <c r="J42" i="1" s="1"/>
  <c r="C43" i="1"/>
  <c r="G43" i="1" s="1"/>
  <c r="I43" i="1" s="1"/>
  <c r="J43" i="1" s="1"/>
  <c r="C44" i="1"/>
  <c r="G44" i="1" s="1"/>
  <c r="C45" i="1"/>
  <c r="C46" i="1"/>
  <c r="C47" i="1"/>
  <c r="C48" i="1"/>
  <c r="C49" i="1"/>
  <c r="C50" i="1"/>
  <c r="G50" i="1" s="1"/>
  <c r="I50" i="1" s="1"/>
  <c r="C51" i="1"/>
  <c r="G51" i="1" s="1"/>
  <c r="I51" i="1" s="1"/>
  <c r="J51" i="1" s="1"/>
  <c r="C52" i="1"/>
  <c r="G52" i="1" s="1"/>
  <c r="I52" i="1" s="1"/>
  <c r="J52" i="1" s="1"/>
  <c r="C53" i="1"/>
  <c r="C54" i="1"/>
  <c r="C55" i="1"/>
  <c r="C56" i="1"/>
  <c r="G56" i="1" s="1"/>
  <c r="I56" i="1" s="1"/>
  <c r="J56" i="1" s="1"/>
  <c r="C57" i="1"/>
  <c r="C58" i="1"/>
  <c r="G58" i="1" s="1"/>
  <c r="I58" i="1" s="1"/>
  <c r="J58" i="1" s="1"/>
  <c r="C59" i="1"/>
  <c r="G59" i="1" s="1"/>
  <c r="I59" i="1" s="1"/>
  <c r="J59" i="1" s="1"/>
  <c r="C60" i="1"/>
  <c r="G60" i="1" s="1"/>
  <c r="N3" i="1"/>
  <c r="N4" i="1"/>
  <c r="N5" i="1"/>
  <c r="N6" i="1"/>
  <c r="N7" i="1"/>
  <c r="N8" i="1"/>
  <c r="N10" i="1"/>
  <c r="N11" i="1"/>
  <c r="N12" i="1"/>
  <c r="N13" i="1"/>
  <c r="N15" i="1"/>
  <c r="N16" i="1"/>
  <c r="N17" i="1"/>
  <c r="N18" i="1"/>
  <c r="N19" i="1"/>
  <c r="N20" i="1"/>
  <c r="N21" i="1"/>
  <c r="N22" i="1"/>
  <c r="N23" i="1"/>
  <c r="N24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L59" i="1"/>
  <c r="L60" i="1"/>
  <c r="L52" i="1"/>
  <c r="L55" i="1"/>
  <c r="L50" i="1"/>
  <c r="L35" i="1"/>
  <c r="L36" i="1"/>
  <c r="L42" i="1"/>
  <c r="L43" i="1"/>
  <c r="L44" i="1"/>
  <c r="L26" i="1"/>
  <c r="L27" i="1"/>
  <c r="L28" i="1"/>
  <c r="L33" i="1"/>
  <c r="L34" i="1"/>
  <c r="L12" i="1"/>
  <c r="L17" i="1"/>
  <c r="L19" i="1"/>
  <c r="L20" i="1"/>
  <c r="L6" i="1"/>
  <c r="L7" i="1"/>
  <c r="L10" i="1"/>
  <c r="T2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4" i="1"/>
  <c r="E5" i="1"/>
  <c r="E6" i="1"/>
  <c r="E7" i="1"/>
  <c r="E8" i="1"/>
  <c r="E9" i="1"/>
  <c r="E10" i="1"/>
  <c r="E11" i="1"/>
  <c r="E12" i="1"/>
  <c r="E13" i="1"/>
  <c r="E3" i="1"/>
  <c r="T5" i="1"/>
  <c r="T4" i="1"/>
  <c r="T3" i="1"/>
  <c r="S6" i="1"/>
  <c r="T6" i="1" s="1"/>
  <c r="S2" i="1"/>
  <c r="S5" i="1"/>
  <c r="S4" i="1"/>
  <c r="S3" i="1"/>
  <c r="I2" i="1" l="1"/>
  <c r="J50" i="1"/>
  <c r="J38" i="1"/>
  <c r="G37" i="1"/>
  <c r="I37" i="1" s="1"/>
  <c r="J37" i="1" s="1"/>
  <c r="G36" i="1"/>
  <c r="G35" i="1"/>
  <c r="I35" i="1" s="1"/>
  <c r="J35" i="1" s="1"/>
  <c r="G34" i="1"/>
  <c r="I34" i="1" s="1"/>
  <c r="J34" i="1" s="1"/>
  <c r="G33" i="1"/>
  <c r="I33" i="1" s="1"/>
  <c r="J33" i="1" s="1"/>
  <c r="G29" i="1"/>
  <c r="I29" i="1" s="1"/>
  <c r="J29" i="1" s="1"/>
  <c r="G28" i="1"/>
  <c r="G27" i="1"/>
  <c r="I27" i="1" s="1"/>
  <c r="J27" i="1" s="1"/>
  <c r="G26" i="1"/>
  <c r="I26" i="1" s="1"/>
  <c r="G25" i="1"/>
  <c r="I25" i="1" s="1"/>
  <c r="J25" i="1" s="1"/>
  <c r="G24" i="1"/>
  <c r="I24" i="1" s="1"/>
  <c r="J24" i="1" s="1"/>
  <c r="G21" i="1"/>
  <c r="I21" i="1" s="1"/>
  <c r="J21" i="1" s="1"/>
  <c r="G20" i="1"/>
  <c r="G19" i="1"/>
  <c r="I19" i="1" s="1"/>
  <c r="J19" i="1" s="1"/>
  <c r="G17" i="1"/>
  <c r="I17" i="1" s="1"/>
  <c r="J17" i="1" s="1"/>
  <c r="G15" i="1"/>
  <c r="I15" i="1" s="1"/>
  <c r="J15" i="1" s="1"/>
  <c r="G13" i="1"/>
  <c r="I13" i="1" s="1"/>
  <c r="G12" i="1"/>
  <c r="G11" i="1"/>
  <c r="I11" i="1" s="1"/>
  <c r="J11" i="1" s="1"/>
  <c r="G9" i="1"/>
  <c r="I9" i="1" s="1"/>
  <c r="J9" i="1" s="1"/>
  <c r="G5" i="1"/>
  <c r="I5" i="1" s="1"/>
  <c r="J5" i="1" s="1"/>
  <c r="G4" i="1"/>
  <c r="I4" i="1" s="1"/>
  <c r="J4" i="1" s="1"/>
  <c r="G3" i="1"/>
  <c r="I3" i="1" s="1"/>
  <c r="J3" i="1" s="1"/>
  <c r="G61" i="1"/>
  <c r="I61" i="1" s="1"/>
  <c r="J61" i="1" s="1"/>
  <c r="I60" i="1"/>
  <c r="J60" i="1" s="1"/>
  <c r="I36" i="1"/>
  <c r="J36" i="1" s="1"/>
  <c r="I20" i="1"/>
  <c r="J20" i="1" s="1"/>
  <c r="I12" i="1"/>
  <c r="J12" i="1" s="1"/>
  <c r="G39" i="1"/>
  <c r="I39" i="1" s="1"/>
  <c r="G22" i="1"/>
  <c r="I22" i="1" s="1"/>
  <c r="J22" i="1" s="1"/>
  <c r="G18" i="1"/>
  <c r="I18" i="1" s="1"/>
  <c r="J18" i="1" s="1"/>
  <c r="G10" i="1"/>
  <c r="I10" i="1" s="1"/>
  <c r="J10" i="1" s="1"/>
  <c r="I8" i="1"/>
  <c r="J8" i="1" s="1"/>
  <c r="G7" i="1"/>
  <c r="I7" i="1" s="1"/>
  <c r="J7" i="1" s="1"/>
  <c r="G6" i="1"/>
  <c r="J6" i="1" s="1"/>
  <c r="G73" i="1"/>
  <c r="I73" i="1" s="1"/>
  <c r="G72" i="1"/>
  <c r="I72" i="1" s="1"/>
  <c r="G71" i="1"/>
  <c r="I71" i="1" s="1"/>
  <c r="G70" i="1"/>
  <c r="I70" i="1" s="1"/>
  <c r="G69" i="1"/>
  <c r="I69" i="1" s="1"/>
  <c r="G65" i="1"/>
  <c r="I65" i="1" s="1"/>
  <c r="G64" i="1"/>
  <c r="I64" i="1" s="1"/>
  <c r="G63" i="1"/>
  <c r="I63" i="1" s="1"/>
  <c r="G62" i="1"/>
  <c r="I62" i="1" s="1"/>
  <c r="G57" i="1"/>
  <c r="I57" i="1" s="1"/>
  <c r="J57" i="1" s="1"/>
  <c r="G55" i="1"/>
  <c r="I55" i="1" s="1"/>
  <c r="J55" i="1" s="1"/>
  <c r="G53" i="1"/>
  <c r="I53" i="1" s="1"/>
  <c r="G49" i="1"/>
  <c r="I49" i="1" s="1"/>
  <c r="J49" i="1" s="1"/>
  <c r="G48" i="1"/>
  <c r="I48" i="1" s="1"/>
  <c r="J48" i="1" s="1"/>
  <c r="G46" i="1"/>
  <c r="I46" i="1" s="1"/>
  <c r="J46" i="1" s="1"/>
  <c r="G45" i="1"/>
  <c r="I45" i="1" s="1"/>
  <c r="J45" i="1" s="1"/>
  <c r="J66" i="1"/>
  <c r="K66" i="1" s="1"/>
  <c r="M66" i="1" s="1"/>
  <c r="O66" i="1" s="1"/>
  <c r="J63" i="1"/>
  <c r="K63" i="1"/>
  <c r="M63" i="1" s="1"/>
  <c r="O63" i="1" s="1"/>
  <c r="J68" i="1"/>
  <c r="K68" i="1"/>
  <c r="M68" i="1" s="1"/>
  <c r="O68" i="1" s="1"/>
  <c r="J73" i="1"/>
  <c r="K73" i="1"/>
  <c r="M73" i="1" s="1"/>
  <c r="O73" i="1" s="1"/>
  <c r="J65" i="1"/>
  <c r="K65" i="1" s="1"/>
  <c r="M65" i="1" s="1"/>
  <c r="O65" i="1" s="1"/>
  <c r="J67" i="1"/>
  <c r="K67" i="1"/>
  <c r="M67" i="1" s="1"/>
  <c r="O67" i="1" s="1"/>
  <c r="J72" i="1"/>
  <c r="K72" i="1" s="1"/>
  <c r="M72" i="1" s="1"/>
  <c r="O72" i="1" s="1"/>
  <c r="J64" i="1"/>
  <c r="K64" i="1"/>
  <c r="M64" i="1" s="1"/>
  <c r="O64" i="1" s="1"/>
  <c r="J71" i="1"/>
  <c r="K71" i="1" s="1"/>
  <c r="M71" i="1" s="1"/>
  <c r="O71" i="1" s="1"/>
  <c r="J70" i="1"/>
  <c r="K70" i="1" s="1"/>
  <c r="M70" i="1" s="1"/>
  <c r="O70" i="1" s="1"/>
  <c r="J69" i="1"/>
  <c r="K69" i="1"/>
  <c r="M69" i="1" s="1"/>
  <c r="O69" i="1" s="1"/>
  <c r="J62" i="1"/>
  <c r="K62" i="1" s="1"/>
  <c r="M62" i="1" s="1"/>
  <c r="O62" i="1" s="1"/>
  <c r="L49" i="1"/>
  <c r="L46" i="1"/>
  <c r="L48" i="1"/>
  <c r="L57" i="1"/>
  <c r="G47" i="1"/>
  <c r="I47" i="1" s="1"/>
  <c r="J47" i="1" s="1"/>
  <c r="K47" i="1" s="1"/>
  <c r="M47" i="1" s="1"/>
  <c r="O47" i="1" s="1"/>
  <c r="I44" i="1"/>
  <c r="J44" i="1" s="1"/>
  <c r="L8" i="1"/>
  <c r="G31" i="1"/>
  <c r="I31" i="1" s="1"/>
  <c r="J31" i="1" s="1"/>
  <c r="L39" i="1"/>
  <c r="G40" i="1"/>
  <c r="I40" i="1" s="1"/>
  <c r="J40" i="1" s="1"/>
  <c r="G23" i="1"/>
  <c r="I23" i="1" s="1"/>
  <c r="J23" i="1" s="1"/>
  <c r="G16" i="1"/>
  <c r="I16" i="1" s="1"/>
  <c r="J16" i="1" s="1"/>
  <c r="G32" i="1"/>
  <c r="I32" i="1" s="1"/>
  <c r="J32" i="1" s="1"/>
  <c r="I28" i="1"/>
  <c r="J28" i="1" s="1"/>
  <c r="L18" i="1"/>
  <c r="J53" i="1"/>
  <c r="K53" i="1" s="1"/>
  <c r="L53" i="1"/>
  <c r="L45" i="1"/>
  <c r="G54" i="1"/>
  <c r="I54" i="1" s="1"/>
  <c r="J54" i="1" s="1"/>
  <c r="G30" i="1"/>
  <c r="I30" i="1" s="1"/>
  <c r="J30" i="1" s="1"/>
  <c r="G14" i="1"/>
  <c r="I14" i="1" s="1"/>
  <c r="J14" i="1" s="1"/>
  <c r="L37" i="1"/>
  <c r="L21" i="1"/>
  <c r="L5" i="1"/>
  <c r="L29" i="1"/>
  <c r="L13" i="1"/>
  <c r="K42" i="1"/>
  <c r="M42" i="1" s="1"/>
  <c r="O42" i="1" s="1"/>
  <c r="K34" i="1"/>
  <c r="M34" i="1" s="1"/>
  <c r="O34" i="1" s="1"/>
  <c r="K51" i="1"/>
  <c r="M51" i="1" s="1"/>
  <c r="O51" i="1" s="1"/>
  <c r="K12" i="1"/>
  <c r="M12" i="1" s="1"/>
  <c r="O12" i="1" s="1"/>
  <c r="K31" i="1"/>
  <c r="M31" i="1" s="1"/>
  <c r="O31" i="1" s="1"/>
  <c r="K43" i="1"/>
  <c r="M43" i="1" s="1"/>
  <c r="O43" i="1" s="1"/>
  <c r="K50" i="1"/>
  <c r="M50" i="1" s="1"/>
  <c r="O50" i="1" s="1"/>
  <c r="K58" i="1"/>
  <c r="M58" i="1" s="1"/>
  <c r="O58" i="1" s="1"/>
  <c r="K59" i="1"/>
  <c r="M59" i="1" s="1"/>
  <c r="O59" i="1" s="1"/>
  <c r="K25" i="1"/>
  <c r="M25" i="1" s="1"/>
  <c r="O25" i="1" s="1"/>
  <c r="K17" i="1"/>
  <c r="M17" i="1" s="1"/>
  <c r="O17" i="1" s="1"/>
  <c r="K9" i="1"/>
  <c r="M9" i="1" s="1"/>
  <c r="O9" i="1" s="1"/>
  <c r="K22" i="1"/>
  <c r="M22" i="1" s="1"/>
  <c r="O22" i="1" s="1"/>
  <c r="K18" i="1"/>
  <c r="M18" i="1" s="1"/>
  <c r="O18" i="1" s="1"/>
  <c r="K16" i="1"/>
  <c r="M16" i="1" s="1"/>
  <c r="O16" i="1" s="1"/>
  <c r="K5" i="1"/>
  <c r="M5" i="1" s="1"/>
  <c r="O5" i="1" s="1"/>
  <c r="K30" i="1"/>
  <c r="M30" i="1" s="1"/>
  <c r="O30" i="1" s="1"/>
  <c r="K15" i="1"/>
  <c r="M15" i="1" s="1"/>
  <c r="O15" i="1" s="1"/>
  <c r="K33" i="1"/>
  <c r="M33" i="1" s="1"/>
  <c r="O33" i="1" s="1"/>
  <c r="K8" i="1"/>
  <c r="M8" i="1" s="1"/>
  <c r="K7" i="1"/>
  <c r="M7" i="1" s="1"/>
  <c r="O7" i="1" s="1"/>
  <c r="K40" i="1"/>
  <c r="M40" i="1" s="1"/>
  <c r="O40" i="1" s="1"/>
  <c r="K54" i="1"/>
  <c r="M54" i="1" s="1"/>
  <c r="O54" i="1" s="1"/>
  <c r="K38" i="1"/>
  <c r="M38" i="1" s="1"/>
  <c r="O38" i="1" s="1"/>
  <c r="K41" i="1"/>
  <c r="M41" i="1" s="1"/>
  <c r="O41" i="1" s="1"/>
  <c r="K10" i="1"/>
  <c r="M10" i="1" s="1"/>
  <c r="O10" i="1" s="1"/>
  <c r="K60" i="1"/>
  <c r="M60" i="1" s="1"/>
  <c r="O60" i="1" s="1"/>
  <c r="K52" i="1"/>
  <c r="M52" i="1" s="1"/>
  <c r="O52" i="1" s="1"/>
  <c r="K36" i="1"/>
  <c r="M36" i="1" s="1"/>
  <c r="O36" i="1" s="1"/>
  <c r="K24" i="1"/>
  <c r="M24" i="1" s="1"/>
  <c r="O24" i="1" s="1"/>
  <c r="K23" i="1"/>
  <c r="M23" i="1" s="1"/>
  <c r="O23" i="1" s="1"/>
  <c r="F2" i="2" l="1"/>
  <c r="J39" i="1"/>
  <c r="E2" i="2"/>
  <c r="E3" i="2" s="1"/>
  <c r="E4" i="2" s="1"/>
  <c r="E6" i="2" s="1"/>
  <c r="E7" i="2" s="1"/>
  <c r="E8" i="2" s="1"/>
  <c r="E10" i="2" s="1"/>
  <c r="J2" i="1"/>
  <c r="B2" i="2"/>
  <c r="B3" i="2" s="1"/>
  <c r="B4" i="2" s="1"/>
  <c r="J13" i="1"/>
  <c r="K13" i="1" s="1"/>
  <c r="M13" i="1" s="1"/>
  <c r="O13" i="1" s="1"/>
  <c r="C2" i="2"/>
  <c r="C3" i="2" s="1"/>
  <c r="C4" i="2" s="1"/>
  <c r="C6" i="2" s="1"/>
  <c r="C7" i="2" s="1"/>
  <c r="C8" i="2" s="1"/>
  <c r="C10" i="2" s="1"/>
  <c r="J26" i="1"/>
  <c r="K26" i="1" s="1"/>
  <c r="D3" i="2"/>
  <c r="D4" i="2" s="1"/>
  <c r="D6" i="2" s="1"/>
  <c r="D7" i="2" s="1"/>
  <c r="D8" i="2" s="1"/>
  <c r="K44" i="1"/>
  <c r="M44" i="1" s="1"/>
  <c r="O44" i="1" s="1"/>
  <c r="K3" i="1"/>
  <c r="M3" i="1" s="1"/>
  <c r="O3" i="1" s="1"/>
  <c r="K55" i="1"/>
  <c r="M55" i="1" s="1"/>
  <c r="O55" i="1" s="1"/>
  <c r="K6" i="1"/>
  <c r="K57" i="1"/>
  <c r="M57" i="1" s="1"/>
  <c r="O57" i="1" s="1"/>
  <c r="K32" i="1"/>
  <c r="M32" i="1" s="1"/>
  <c r="O32" i="1" s="1"/>
  <c r="K56" i="1"/>
  <c r="M56" i="1" s="1"/>
  <c r="K48" i="1"/>
  <c r="M48" i="1" s="1"/>
  <c r="O48" i="1" s="1"/>
  <c r="K39" i="1"/>
  <c r="M39" i="1" s="1"/>
  <c r="O39" i="1" s="1"/>
  <c r="K49" i="1"/>
  <c r="M49" i="1" s="1"/>
  <c r="O49" i="1" s="1"/>
  <c r="K2" i="1"/>
  <c r="K46" i="1"/>
  <c r="M46" i="1" s="1"/>
  <c r="O46" i="1" s="1"/>
  <c r="K19" i="1"/>
  <c r="M19" i="1" s="1"/>
  <c r="O19" i="1" s="1"/>
  <c r="K29" i="1"/>
  <c r="M29" i="1" s="1"/>
  <c r="O29" i="1" s="1"/>
  <c r="M53" i="1"/>
  <c r="O53" i="1" s="1"/>
  <c r="K61" i="1"/>
  <c r="K21" i="1"/>
  <c r="M21" i="1" s="1"/>
  <c r="O21" i="1" s="1"/>
  <c r="K37" i="1"/>
  <c r="M37" i="1" s="1"/>
  <c r="O37" i="1" s="1"/>
  <c r="K28" i="1"/>
  <c r="M28" i="1" s="1"/>
  <c r="O28" i="1" s="1"/>
  <c r="K11" i="1"/>
  <c r="K14" i="1"/>
  <c r="M14" i="1" s="1"/>
  <c r="O14" i="1" s="1"/>
  <c r="K27" i="1"/>
  <c r="M27" i="1" s="1"/>
  <c r="O27" i="1" s="1"/>
  <c r="K35" i="1"/>
  <c r="M35" i="1" s="1"/>
  <c r="O35" i="1" s="1"/>
  <c r="K4" i="1"/>
  <c r="M4" i="1" s="1"/>
  <c r="O4" i="1" s="1"/>
  <c r="K45" i="1"/>
  <c r="M45" i="1" s="1"/>
  <c r="O45" i="1" s="1"/>
  <c r="K20" i="1"/>
  <c r="M20" i="1" s="1"/>
  <c r="O20" i="1" s="1"/>
  <c r="D10" i="2" l="1"/>
  <c r="M26" i="1"/>
  <c r="O26" i="1" s="1"/>
  <c r="B6" i="2"/>
  <c r="B7" i="2" s="1"/>
  <c r="B8" i="2"/>
  <c r="F3" i="2"/>
  <c r="F4" i="2" s="1"/>
  <c r="F6" i="2" s="1"/>
  <c r="F7" i="2" s="1"/>
  <c r="F8" i="2" s="1"/>
  <c r="G2" i="2"/>
  <c r="M11" i="1"/>
  <c r="O11" i="1" s="1"/>
  <c r="O56" i="1"/>
  <c r="M6" i="1"/>
  <c r="O6" i="1" s="1"/>
  <c r="M61" i="1"/>
  <c r="O61" i="1" s="1"/>
  <c r="M2" i="1"/>
  <c r="O2" i="1" s="1"/>
  <c r="G3" i="2" l="1"/>
  <c r="G4" i="2"/>
  <c r="J8" i="2"/>
  <c r="J14" i="2" s="1"/>
  <c r="F10" i="2"/>
  <c r="B10" i="2"/>
  <c r="J2" i="2"/>
  <c r="J9" i="2"/>
  <c r="J10" i="2" s="1"/>
  <c r="J11" i="2" s="1"/>
  <c r="D11" i="2" s="1"/>
  <c r="D12" i="2" s="1"/>
  <c r="J1" i="2"/>
  <c r="G6" i="2" l="1"/>
  <c r="G7" i="2" s="1"/>
  <c r="G8" i="2"/>
  <c r="G10" i="2" s="1"/>
  <c r="D14" i="2"/>
  <c r="B11" i="2"/>
  <c r="J3" i="2" s="1"/>
  <c r="G11" i="2"/>
  <c r="G12" i="2" s="1"/>
  <c r="E11" i="2"/>
  <c r="E12" i="2" s="1"/>
  <c r="C11" i="2"/>
  <c r="F11" i="2"/>
  <c r="G14" i="2" l="1"/>
  <c r="F14" i="2"/>
  <c r="B12" i="2"/>
  <c r="J4" i="2" s="1"/>
  <c r="B14" i="2"/>
  <c r="F12" i="2"/>
  <c r="E14" i="2"/>
  <c r="C12" i="2"/>
  <c r="C14" i="2"/>
</calcChain>
</file>

<file path=xl/sharedStrings.xml><?xml version="1.0" encoding="utf-8"?>
<sst xmlns="http://schemas.openxmlformats.org/spreadsheetml/2006/main" count="86" uniqueCount="79">
  <si>
    <t>Tenant</t>
  </si>
  <si>
    <t>SF</t>
  </si>
  <si>
    <t>Rent/yr/sf</t>
  </si>
  <si>
    <t>Base Year Stop</t>
  </si>
  <si>
    <t>Lease Start Month</t>
  </si>
  <si>
    <t>Lease Term (years)</t>
  </si>
  <si>
    <t>Rent Steps</t>
  </si>
  <si>
    <t>Tenant A</t>
  </si>
  <si>
    <t>$10.00/sf</t>
  </si>
  <si>
    <t>Jan-25</t>
  </si>
  <si>
    <t>3%/year</t>
  </si>
  <si>
    <t>Tenant B</t>
  </si>
  <si>
    <t>Percentage Rent</t>
  </si>
  <si>
    <t>None</t>
  </si>
  <si>
    <t>Tenant C</t>
  </si>
  <si>
    <t>Net Lease (Stop=0)</t>
  </si>
  <si>
    <t>Tenant D</t>
  </si>
  <si>
    <t>$11.50/sf</t>
  </si>
  <si>
    <t>Jun-25</t>
  </si>
  <si>
    <t>$50/sf bump in Month 57</t>
  </si>
  <si>
    <t>Month #</t>
  </si>
  <si>
    <t>Month/Year</t>
  </si>
  <si>
    <t>Tenant A Rent</t>
  </si>
  <si>
    <t>Tenant B Rent</t>
  </si>
  <si>
    <t>Tenant C Rent</t>
  </si>
  <si>
    <t>Tenant D Rent</t>
  </si>
  <si>
    <t>Total Rent</t>
  </si>
  <si>
    <t>Total Pass-Throughs</t>
  </si>
  <si>
    <t>PGI</t>
  </si>
  <si>
    <t>Vacancy</t>
  </si>
  <si>
    <t>EGI</t>
  </si>
  <si>
    <t>Expenses</t>
  </si>
  <si>
    <t>NOI</t>
  </si>
  <si>
    <t>Capital Reserves</t>
  </si>
  <si>
    <t>Cash Flow</t>
  </si>
  <si>
    <t>Year</t>
  </si>
  <si>
    <t>Sales per SF</t>
  </si>
  <si>
    <t>Total Sales</t>
  </si>
  <si>
    <t>Weighted (500/550)</t>
  </si>
  <si>
    <t>`</t>
  </si>
  <si>
    <t>Year 1</t>
  </si>
  <si>
    <t>Year 2</t>
  </si>
  <si>
    <t>Year 3</t>
  </si>
  <si>
    <t>Year 4</t>
  </si>
  <si>
    <t>Year 5</t>
  </si>
  <si>
    <t>Reversion Year</t>
  </si>
  <si>
    <t>Equity IRR</t>
  </si>
  <si>
    <t>PGI (Potential Gross Income)</t>
  </si>
  <si>
    <t xml:space="preserve">Debt Yield </t>
  </si>
  <si>
    <t>Vacancy Loss (10%)</t>
  </si>
  <si>
    <t>Break-even Ratio</t>
  </si>
  <si>
    <t>EGI (Effective Gross Income)</t>
  </si>
  <si>
    <t>Cash-on-Cash Return</t>
  </si>
  <si>
    <t>Expenses (Reimbursable)</t>
  </si>
  <si>
    <t>Management Fee (3% of EGI)</t>
  </si>
  <si>
    <t>Total Expenses</t>
  </si>
  <si>
    <t>NOI (Net Operating Income)</t>
  </si>
  <si>
    <t>Property Value</t>
  </si>
  <si>
    <t>Loan-to-Value (LTV)</t>
  </si>
  <si>
    <t>Net Cash Flow (Pre-Debt)</t>
  </si>
  <si>
    <t>Loan Term (Years)</t>
  </si>
  <si>
    <t>Debt Service</t>
  </si>
  <si>
    <t>Annual Debt Service</t>
  </si>
  <si>
    <t>Cash Flow After Debt Service</t>
  </si>
  <si>
    <t>Amortization Period (Years)</t>
  </si>
  <si>
    <t>Reversion Value</t>
  </si>
  <si>
    <t>Interest Rate (Annual)</t>
  </si>
  <si>
    <t>Total Cash Flow (Reversion Year)</t>
  </si>
  <si>
    <t>Loan ammount</t>
  </si>
  <si>
    <t>Mortgage Balance</t>
  </si>
  <si>
    <t>Category</t>
  </si>
  <si>
    <t>Expense per SF</t>
  </si>
  <si>
    <t>Taxes</t>
  </si>
  <si>
    <t>R&amp;M</t>
  </si>
  <si>
    <t>Insurance</t>
  </si>
  <si>
    <t>Utilities</t>
  </si>
  <si>
    <t>Payroll</t>
  </si>
  <si>
    <t>Security</t>
  </si>
  <si>
    <t>G&amp;A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</si>
</sst>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/>
    <xf numFmtId="0" fontId="4" fillId="0" borderId="0" xfId="0" applyFont="1"/>
    <xf numFmtId="8" fontId="0" fillId="0" borderId="0" xfId="0" applyNumberFormat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44" fontId="0" fillId="0" borderId="0" xfId="1" applyFont="1"/>
    <xf numFmtId="0" fontId="4" fillId="0" borderId="0" xfId="0" applyFont="1" applyAlignment="1">
      <alignment horizontal="center"/>
    </xf>
    <xf numFmtId="17" fontId="4" fillId="0" borderId="0" xfId="0" applyNumberFormat="1" applyFont="1" applyAlignment="1">
      <alignment horizontal="center"/>
    </xf>
    <xf numFmtId="8" fontId="4" fillId="0" borderId="0" xfId="0" applyNumberFormat="1" applyFont="1" applyAlignment="1">
      <alignment horizontal="center"/>
    </xf>
    <xf numFmtId="44" fontId="0" fillId="0" borderId="0" xfId="1" applyFont="1" applyAlignment="1">
      <alignment horizontal="center"/>
    </xf>
    <xf numFmtId="44" fontId="4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44" fontId="5" fillId="0" borderId="0" xfId="1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1" quotePrefix="1" applyFont="1"/>
    <xf numFmtId="8" fontId="4" fillId="0" borderId="2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4" fontId="3" fillId="0" borderId="1" xfId="1" applyFont="1" applyBorder="1" applyAlignment="1">
      <alignment horizontal="center"/>
    </xf>
    <xf numFmtId="44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9" fontId="0" fillId="0" borderId="0" xfId="0" applyNumberFormat="1"/>
    <xf numFmtId="10" fontId="0" fillId="0" borderId="0" xfId="0" applyNumberFormat="1"/>
    <xf numFmtId="44" fontId="0" fillId="0" borderId="0" xfId="1" applyFont="1" applyAlignment="1">
      <alignment horizontal="right" vertical="center"/>
    </xf>
    <xf numFmtId="44" fontId="0" fillId="0" borderId="0" xfId="0" applyNumberFormat="1" applyAlignment="1">
      <alignment horizontal="right" vertical="center"/>
    </xf>
    <xf numFmtId="8" fontId="0" fillId="0" borderId="0" xfId="0" applyNumberFormat="1" applyAlignment="1">
      <alignment horizontal="right" vertical="center"/>
    </xf>
    <xf numFmtId="6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10" fontId="5" fillId="0" borderId="0" xfId="2" applyNumberFormat="1" applyFont="1"/>
    <xf numFmtId="8" fontId="0" fillId="0" borderId="0" xfId="1" applyNumberFormat="1" applyFont="1" applyAlignment="1">
      <alignment horizontal="right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37BFA-77D9-F644-8465-9E33DD7D9660}">
  <dimension ref="A1:G6"/>
  <sheetViews>
    <sheetView workbookViewId="0">
      <selection activeCell="E22" sqref="E22"/>
    </sheetView>
  </sheetViews>
  <sheetFormatPr defaultColWidth="11" defaultRowHeight="15.95"/>
  <cols>
    <col min="3" max="3" width="9" bestFit="1" customWidth="1"/>
    <col min="4" max="4" width="16.625" bestFit="1" customWidth="1"/>
    <col min="5" max="5" width="15" bestFit="1" customWidth="1"/>
    <col min="6" max="6" width="15.75" bestFit="1" customWidth="1"/>
    <col min="7" max="7" width="20.875" bestFit="1" customWidth="1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t="s">
        <v>7</v>
      </c>
      <c r="B2">
        <v>35000</v>
      </c>
      <c r="C2">
        <v>45</v>
      </c>
      <c r="D2" t="s">
        <v>8</v>
      </c>
      <c r="E2" t="s">
        <v>9</v>
      </c>
      <c r="F2">
        <v>10</v>
      </c>
      <c r="G2" t="s">
        <v>10</v>
      </c>
    </row>
    <row r="3" spans="1:7">
      <c r="A3" t="s">
        <v>11</v>
      </c>
      <c r="B3">
        <v>30000</v>
      </c>
      <c r="C3">
        <v>41</v>
      </c>
      <c r="D3" t="s">
        <v>12</v>
      </c>
      <c r="E3" t="s">
        <v>9</v>
      </c>
      <c r="F3">
        <v>8</v>
      </c>
      <c r="G3" t="s">
        <v>13</v>
      </c>
    </row>
    <row r="4" spans="1:7">
      <c r="A4" t="s">
        <v>14</v>
      </c>
      <c r="B4">
        <v>50000</v>
      </c>
      <c r="C4">
        <v>29</v>
      </c>
      <c r="D4" t="s">
        <v>15</v>
      </c>
      <c r="E4" t="s">
        <v>9</v>
      </c>
      <c r="F4">
        <v>3</v>
      </c>
      <c r="G4" t="s">
        <v>13</v>
      </c>
    </row>
    <row r="5" spans="1:7">
      <c r="A5" t="s">
        <v>16</v>
      </c>
      <c r="B5">
        <v>30000</v>
      </c>
      <c r="C5">
        <v>42</v>
      </c>
      <c r="D5" t="s">
        <v>17</v>
      </c>
      <c r="E5" t="s">
        <v>18</v>
      </c>
      <c r="F5">
        <v>10</v>
      </c>
      <c r="G5" t="s">
        <v>19</v>
      </c>
    </row>
    <row r="6" spans="1:7">
      <c r="B6">
        <f>SUM(B2:B5)</f>
        <v>145000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BE09-A401-A248-B74E-8014F5BCEFA6}">
  <dimension ref="A1:AF74"/>
  <sheetViews>
    <sheetView workbookViewId="0">
      <selection activeCell="D55" sqref="D55"/>
    </sheetView>
  </sheetViews>
  <sheetFormatPr defaultColWidth="11" defaultRowHeight="15.95"/>
  <cols>
    <col min="1" max="1" width="10.875" style="16"/>
    <col min="2" max="2" width="10.625" style="16" bestFit="1" customWidth="1"/>
    <col min="3" max="3" width="13.375" style="16" bestFit="1" customWidth="1"/>
    <col min="4" max="4" width="13.875" style="12" bestFit="1" customWidth="1"/>
    <col min="5" max="5" width="13.5" style="12" bestFit="1" customWidth="1"/>
    <col min="6" max="6" width="13.875" style="12" bestFit="1" customWidth="1"/>
    <col min="7" max="7" width="11.875" style="16" bestFit="1" customWidth="1"/>
    <col min="8" max="8" width="19.75" style="12" customWidth="1"/>
    <col min="9" max="9" width="11.875" style="16" bestFit="1" customWidth="1"/>
    <col min="10" max="10" width="12.625" style="16" customWidth="1"/>
    <col min="11" max="11" width="15.125" style="16" bestFit="1" customWidth="1"/>
    <col min="12" max="12" width="13.375" style="16" bestFit="1" customWidth="1"/>
    <col min="13" max="13" width="11.875" style="16" bestFit="1" customWidth="1"/>
    <col min="14" max="14" width="15.5" style="16" customWidth="1"/>
    <col min="15" max="15" width="12.5" style="16" bestFit="1" customWidth="1"/>
    <col min="17" max="17" width="14" bestFit="1" customWidth="1"/>
    <col min="19" max="21" width="17.375" bestFit="1" customWidth="1"/>
    <col min="22" max="22" width="16" bestFit="1" customWidth="1"/>
    <col min="24" max="24" width="18.875" bestFit="1" customWidth="1"/>
  </cols>
  <sheetData>
    <row r="1" spans="1:32" ht="15.75">
      <c r="A1" s="19" t="s">
        <v>20</v>
      </c>
      <c r="B1" s="19" t="s">
        <v>21</v>
      </c>
      <c r="C1" s="19" t="s">
        <v>22</v>
      </c>
      <c r="D1" s="20" t="s">
        <v>23</v>
      </c>
      <c r="E1" s="20" t="s">
        <v>24</v>
      </c>
      <c r="F1" s="20" t="s">
        <v>25</v>
      </c>
      <c r="G1" s="19" t="s">
        <v>26</v>
      </c>
      <c r="H1" s="20" t="s">
        <v>27</v>
      </c>
      <c r="I1" s="19" t="s">
        <v>28</v>
      </c>
      <c r="J1" s="19" t="s">
        <v>29</v>
      </c>
      <c r="K1" s="19" t="s">
        <v>30</v>
      </c>
      <c r="L1" s="19" t="s">
        <v>31</v>
      </c>
      <c r="M1" s="19" t="s">
        <v>32</v>
      </c>
      <c r="N1" s="19" t="s">
        <v>33</v>
      </c>
      <c r="O1" s="19" t="s">
        <v>34</v>
      </c>
      <c r="Q1" s="4" t="s">
        <v>35</v>
      </c>
      <c r="R1" s="4" t="s">
        <v>36</v>
      </c>
      <c r="S1" s="4" t="s">
        <v>37</v>
      </c>
      <c r="T1" s="6" t="s">
        <v>12</v>
      </c>
      <c r="W1" s="1"/>
      <c r="X1" s="1"/>
    </row>
    <row r="2" spans="1:32" ht="16.5">
      <c r="A2" s="9">
        <v>1</v>
      </c>
      <c r="B2" s="10">
        <v>45682</v>
      </c>
      <c r="C2" s="11">
        <f>('Tenant Data'!B2*'Tenant Data'!C2)/12</f>
        <v>131250</v>
      </c>
      <c r="D2" s="12">
        <f>(41 * 30000) / 12 + IF((250 * 30000) &gt; 9800000, ((250 * 30000) - 9800000) * 0.1 / 12, 0)</f>
        <v>102500</v>
      </c>
      <c r="E2" s="13">
        <f>('Tenant Data'!B4*'Tenant Data'!C4)/12</f>
        <v>120833.33333333333</v>
      </c>
      <c r="F2" s="8">
        <f>IF(A2 &gt;= 57, (50 * 30000) / 12, IF(A2 &gt;= 6, (42 * 30000) / 12, 0))</f>
        <v>0</v>
      </c>
      <c r="G2" s="11">
        <f>SUM(C2:F2)</f>
        <v>354583.33333333331</v>
      </c>
      <c r="H2" s="12">
        <f>IF(A2 &gt;= 1, ((15.8 - 10) * 35000 / 12), 0) + IF(A2 &lt;= 36, (15.8 * 50000 / 12), 0) + IF(A2 &gt;= 6, ((15.8 - 11.5) * 30000 / 12), 0)</f>
        <v>82750</v>
      </c>
      <c r="I2" s="11">
        <f>G2+H2</f>
        <v>437333.33333333331</v>
      </c>
      <c r="J2" s="11">
        <f>(I2*0.1)</f>
        <v>43733.333333333336</v>
      </c>
      <c r="K2" s="11">
        <f>I2-J2</f>
        <v>393600</v>
      </c>
      <c r="L2" s="11">
        <f>(15.8*145000/12)+(0.03*(F2-(0.1*F2)))</f>
        <v>190916.66666666666</v>
      </c>
      <c r="M2" s="11">
        <f>(K2-L2)</f>
        <v>202683.33333333334</v>
      </c>
      <c r="N2" s="14">
        <f>(0.25*145000/12)*(1+3%)^(INT((A2-1)/12))</f>
        <v>3020.8333333333335</v>
      </c>
      <c r="O2" s="11">
        <f>(M2-N2)</f>
        <v>199662.5</v>
      </c>
      <c r="Q2">
        <v>2025</v>
      </c>
      <c r="R2">
        <v>250</v>
      </c>
      <c r="S2" s="5">
        <f>250 * 30000</f>
        <v>7500000</v>
      </c>
      <c r="T2">
        <f>IF(7500000 &gt; 9800000, (7500000-9800000)*0.1, 0)</f>
        <v>0</v>
      </c>
      <c r="W2" s="2"/>
      <c r="X2" s="2"/>
    </row>
    <row r="3" spans="1:32" ht="16.5">
      <c r="A3" s="9">
        <v>2</v>
      </c>
      <c r="B3" s="10">
        <v>45713</v>
      </c>
      <c r="C3" s="11">
        <f>(45*35000*(1+0.03)^(INT((A3-1)/12)))/12</f>
        <v>131250</v>
      </c>
      <c r="D3" s="12">
        <f t="shared" ref="D3:D13" si="0">(41 * 30000) / 12 + IF((250 * 30000) &gt; 9800000, ((250 * 30000) - 9800000) * 0.1 / 12, 0)</f>
        <v>102500</v>
      </c>
      <c r="E3" s="12">
        <f>IF(A2&lt;=36, (29 * 50000) / 12, IF(A2&lt;=42, 0, (29 * 50000) / 12))</f>
        <v>120833.33333333333</v>
      </c>
      <c r="F3" s="8">
        <f t="shared" ref="F3:F66" si="1">IF(A3 &gt;= 57, (50 * 30000) / 12, IF(A3 &gt;= 6, (42 * 30000) / 12, 0))</f>
        <v>0</v>
      </c>
      <c r="G3" s="11">
        <f t="shared" ref="G3:G60" si="2">SUM(C3:F3)</f>
        <v>354583.33333333331</v>
      </c>
      <c r="H3" s="12">
        <f t="shared" ref="H3:H66" si="3">IF(A3 &gt;= 1, ((15.8 - 10) * 35000 / 12), 0) + IF(A3 &lt;= 36, (15.8 * 50000 / 12), 0) + IF(A3 &gt;= 6, ((15.8 - 11.5) * 30000 / 12), 0)</f>
        <v>82750</v>
      </c>
      <c r="I3" s="11">
        <f>G3+H3</f>
        <v>437333.33333333331</v>
      </c>
      <c r="J3" s="11">
        <f>(I3*0.1)</f>
        <v>43733.333333333336</v>
      </c>
      <c r="K3" s="11">
        <f t="shared" ref="K3:K66" si="4">I3-J3</f>
        <v>393600</v>
      </c>
      <c r="L3" s="11">
        <f>(15.8*145000/12)+(0.03*(F3-(0.1*F3)))</f>
        <v>190916.66666666666</v>
      </c>
      <c r="M3" s="11">
        <f t="shared" ref="M3:M66" si="5">(K3-L3)</f>
        <v>202683.33333333334</v>
      </c>
      <c r="N3" s="14">
        <f t="shared" ref="N3:N66" si="6">(0.25*145000/12)*(1+3%)^(INT((A3-1)/12))</f>
        <v>3020.8333333333335</v>
      </c>
      <c r="O3" s="11">
        <f>(M3-N3)</f>
        <v>199662.5</v>
      </c>
      <c r="Q3">
        <v>2026</v>
      </c>
      <c r="R3">
        <v>350</v>
      </c>
      <c r="S3" s="5">
        <f>350 * 30000</f>
        <v>10500000</v>
      </c>
      <c r="T3">
        <f>IF(10500000 &gt; 9800000, (10500000-9800000)*0.1, 0)</f>
        <v>70000</v>
      </c>
      <c r="W3" s="2"/>
      <c r="X3" s="2"/>
    </row>
    <row r="4" spans="1:32" ht="16.5">
      <c r="A4" s="9">
        <v>3</v>
      </c>
      <c r="B4" s="10">
        <v>45741</v>
      </c>
      <c r="C4" s="11">
        <f t="shared" ref="C4:C61" si="7">(45*35000*(1+0.03)^(INT((A4-1)/12)))/12</f>
        <v>131250</v>
      </c>
      <c r="D4" s="12">
        <f t="shared" si="0"/>
        <v>102500</v>
      </c>
      <c r="E4" s="12">
        <f t="shared" ref="E4:E37" si="8">IF(A3&lt;=36, (29 * 50000) / 12, IF(A3&lt;=42, 0, (29 * 50000) / 12))</f>
        <v>120833.33333333333</v>
      </c>
      <c r="F4" s="8">
        <f t="shared" si="1"/>
        <v>0</v>
      </c>
      <c r="G4" s="11">
        <f t="shared" si="2"/>
        <v>354583.33333333331</v>
      </c>
      <c r="H4" s="12">
        <f>IF(A4 &gt;= 1, ((15.8 - 10) * 35000 / 12), 0) + IF(A4 &lt;= 36, (15.8 * 50000 / 12), 0) + IF(A4 &gt;= 6, ((15.8 - 11.5) * 30000 / 12), 0)</f>
        <v>82750</v>
      </c>
      <c r="I4" s="11">
        <f>G4+H4</f>
        <v>437333.33333333331</v>
      </c>
      <c r="J4" s="11">
        <f t="shared" ref="J4:J67" si="9">(I4*0.1)</f>
        <v>43733.333333333336</v>
      </c>
      <c r="K4" s="11">
        <f t="shared" si="4"/>
        <v>393600</v>
      </c>
      <c r="L4" s="11">
        <f t="shared" ref="L3:L66" si="10">(15.8*145000/12)+(0.03*(F4-(0.1*F4)))</f>
        <v>190916.66666666666</v>
      </c>
      <c r="M4" s="11">
        <f t="shared" si="5"/>
        <v>202683.33333333334</v>
      </c>
      <c r="N4" s="14">
        <f t="shared" si="6"/>
        <v>3020.8333333333335</v>
      </c>
      <c r="O4" s="11">
        <f t="shared" ref="O4:O60" si="11">(M4-N4)</f>
        <v>199662.5</v>
      </c>
      <c r="Q4">
        <v>2027</v>
      </c>
      <c r="R4">
        <v>410</v>
      </c>
      <c r="S4" s="5">
        <f>410 * 30000</f>
        <v>12300000</v>
      </c>
      <c r="T4">
        <f>IF(12300000 &gt; 9800000, (12300000-9800000)*0.1, 0)</f>
        <v>250000</v>
      </c>
      <c r="W4" s="2"/>
      <c r="X4" s="2"/>
    </row>
    <row r="5" spans="1:32" ht="16.5">
      <c r="A5" s="9">
        <v>4</v>
      </c>
      <c r="B5" s="10">
        <v>45772</v>
      </c>
      <c r="C5" s="11">
        <f>(45*35000*(1+0.03)^(INT((A5-1)/12)))/12</f>
        <v>131250</v>
      </c>
      <c r="D5" s="12">
        <f t="shared" si="0"/>
        <v>102500</v>
      </c>
      <c r="E5" s="12">
        <f t="shared" si="8"/>
        <v>120833.33333333333</v>
      </c>
      <c r="F5" s="8">
        <f>IF(A5 &gt;= 57, (50 * 30000) / 12, IF(A5 &gt;= 6, (42 * 30000) / 12, 0))</f>
        <v>0</v>
      </c>
      <c r="G5" s="11">
        <f t="shared" si="2"/>
        <v>354583.33333333331</v>
      </c>
      <c r="H5" s="12">
        <f t="shared" si="3"/>
        <v>82750</v>
      </c>
      <c r="I5" s="11">
        <f t="shared" ref="I5:I68" si="12">G5+H5</f>
        <v>437333.33333333331</v>
      </c>
      <c r="J5" s="11">
        <f t="shared" si="9"/>
        <v>43733.333333333336</v>
      </c>
      <c r="K5" s="18">
        <f t="shared" si="4"/>
        <v>393600</v>
      </c>
      <c r="L5" s="11">
        <f t="shared" si="10"/>
        <v>190916.66666666666</v>
      </c>
      <c r="M5" s="11">
        <f t="shared" si="5"/>
        <v>202683.33333333334</v>
      </c>
      <c r="N5" s="14">
        <f t="shared" si="6"/>
        <v>3020.8333333333335</v>
      </c>
      <c r="O5" s="11">
        <f t="shared" si="11"/>
        <v>199662.5</v>
      </c>
      <c r="Q5">
        <v>2028</v>
      </c>
      <c r="R5">
        <v>265</v>
      </c>
      <c r="S5" s="5">
        <f>265 * 30000</f>
        <v>7950000</v>
      </c>
      <c r="T5">
        <f>IF(7950000 &gt; 9800000, (7950000-9800000)*0.1, 0)</f>
        <v>0</v>
      </c>
      <c r="W5" s="2"/>
      <c r="X5" s="2"/>
    </row>
    <row r="6" spans="1:32" ht="15.95" customHeight="1">
      <c r="A6" s="9">
        <v>5</v>
      </c>
      <c r="B6" s="10">
        <v>45802</v>
      </c>
      <c r="C6" s="11">
        <f t="shared" si="7"/>
        <v>131250</v>
      </c>
      <c r="D6" s="12">
        <f t="shared" si="0"/>
        <v>102500</v>
      </c>
      <c r="E6" s="12">
        <f t="shared" si="8"/>
        <v>120833.33333333333</v>
      </c>
      <c r="F6" s="8">
        <f t="shared" si="1"/>
        <v>0</v>
      </c>
      <c r="G6" s="11">
        <f t="shared" si="2"/>
        <v>354583.33333333331</v>
      </c>
      <c r="H6" s="12">
        <f>IF(A6 &gt;= 1, ((15.8 - 10) * 35000 / 12), 0) + IF(A6 &lt;= 36, (15.8 * 50000 / 12), 0) + IF(A6 &gt;= 6, ((15.8 - 11.5) * 30000 / 12), 0)</f>
        <v>82750</v>
      </c>
      <c r="I6" s="11">
        <f>G6+H6</f>
        <v>437333.33333333331</v>
      </c>
      <c r="J6" s="11">
        <f t="shared" si="9"/>
        <v>43733.333333333336</v>
      </c>
      <c r="K6" s="11">
        <f>I6-J6</f>
        <v>393600</v>
      </c>
      <c r="L6" s="11">
        <f t="shared" si="10"/>
        <v>190916.66666666666</v>
      </c>
      <c r="M6" s="11">
        <f t="shared" si="5"/>
        <v>202683.33333333334</v>
      </c>
      <c r="N6" s="14">
        <f t="shared" si="6"/>
        <v>3020.8333333333335</v>
      </c>
      <c r="O6" s="11">
        <f t="shared" si="11"/>
        <v>199662.5</v>
      </c>
      <c r="P6" s="5"/>
      <c r="Q6">
        <v>2029</v>
      </c>
      <c r="R6" t="s">
        <v>38</v>
      </c>
      <c r="S6" s="5">
        <f>(500 * 30000 * 6/12) + (550 * 30000 * 6/12)</f>
        <v>15750000</v>
      </c>
      <c r="T6">
        <f>IF(S6 &gt; 9800000, (S6-9800000)*0.1, 0)</f>
        <v>595000</v>
      </c>
    </row>
    <row r="7" spans="1:32">
      <c r="A7" s="9">
        <v>6</v>
      </c>
      <c r="B7" s="10">
        <v>45833</v>
      </c>
      <c r="C7" s="11">
        <f t="shared" si="7"/>
        <v>131250</v>
      </c>
      <c r="D7" s="12">
        <f t="shared" si="0"/>
        <v>102500</v>
      </c>
      <c r="E7" s="12">
        <f t="shared" si="8"/>
        <v>120833.33333333333</v>
      </c>
      <c r="F7" s="8">
        <f t="shared" si="1"/>
        <v>105000</v>
      </c>
      <c r="G7" s="11">
        <f t="shared" si="2"/>
        <v>459583.33333333331</v>
      </c>
      <c r="H7" s="12">
        <f t="shared" si="3"/>
        <v>93500</v>
      </c>
      <c r="I7" s="11">
        <f>G7+H7</f>
        <v>553083.33333333326</v>
      </c>
      <c r="J7" s="11">
        <f>(I7*0.1)</f>
        <v>55308.333333333328</v>
      </c>
      <c r="K7" s="11">
        <f t="shared" si="4"/>
        <v>497774.99999999994</v>
      </c>
      <c r="L7" s="11">
        <f t="shared" si="10"/>
        <v>193751.66666666666</v>
      </c>
      <c r="M7" s="11">
        <f t="shared" si="5"/>
        <v>304023.33333333326</v>
      </c>
      <c r="N7" s="14">
        <f t="shared" si="6"/>
        <v>3020.8333333333335</v>
      </c>
      <c r="O7" s="11">
        <f t="shared" si="11"/>
        <v>301002.49999999994</v>
      </c>
      <c r="Q7" s="3"/>
    </row>
    <row r="8" spans="1:32">
      <c r="A8" s="9">
        <v>7</v>
      </c>
      <c r="B8" s="10">
        <v>45863</v>
      </c>
      <c r="C8" s="11">
        <f t="shared" si="7"/>
        <v>131250</v>
      </c>
      <c r="D8" s="12">
        <f t="shared" si="0"/>
        <v>102500</v>
      </c>
      <c r="E8" s="12">
        <f t="shared" si="8"/>
        <v>120833.33333333333</v>
      </c>
      <c r="F8" s="8">
        <f t="shared" si="1"/>
        <v>105000</v>
      </c>
      <c r="G8" s="11">
        <f>SUM(C8:F8)</f>
        <v>459583.33333333331</v>
      </c>
      <c r="H8" s="12">
        <f>IF(A8 &gt;= 1, ((15.8 - 10) * 35000 / 12), 0) + IF(A8 &lt;= 36, (15.8 * 50000 / 12), 0) + IF(A8 &gt;= 6, ((15.8 - 11.5) * 30000 / 12), 0)</f>
        <v>93500</v>
      </c>
      <c r="I8" s="11">
        <f t="shared" si="12"/>
        <v>553083.33333333326</v>
      </c>
      <c r="J8" s="11">
        <f t="shared" si="9"/>
        <v>55308.333333333328</v>
      </c>
      <c r="K8" s="11">
        <f t="shared" si="4"/>
        <v>497774.99999999994</v>
      </c>
      <c r="L8" s="11">
        <f t="shared" si="10"/>
        <v>193751.66666666666</v>
      </c>
      <c r="M8" s="11">
        <f t="shared" si="5"/>
        <v>304023.33333333326</v>
      </c>
      <c r="N8" s="14">
        <f t="shared" si="6"/>
        <v>3020.8333333333335</v>
      </c>
      <c r="O8" s="11">
        <f>(M8-N8)</f>
        <v>301002.49999999994</v>
      </c>
      <c r="R8" t="s">
        <v>39</v>
      </c>
    </row>
    <row r="9" spans="1:32">
      <c r="A9" s="9">
        <v>8</v>
      </c>
      <c r="B9" s="10">
        <v>45894</v>
      </c>
      <c r="C9" s="11">
        <f t="shared" si="7"/>
        <v>131250</v>
      </c>
      <c r="D9" s="12">
        <f t="shared" si="0"/>
        <v>102500</v>
      </c>
      <c r="E9" s="12">
        <f t="shared" si="8"/>
        <v>120833.33333333333</v>
      </c>
      <c r="F9" s="8">
        <f t="shared" si="1"/>
        <v>105000</v>
      </c>
      <c r="G9" s="11">
        <f t="shared" si="2"/>
        <v>459583.33333333331</v>
      </c>
      <c r="H9" s="12">
        <f t="shared" si="3"/>
        <v>93500</v>
      </c>
      <c r="I9" s="11">
        <f t="shared" si="12"/>
        <v>553083.33333333326</v>
      </c>
      <c r="J9" s="11">
        <f t="shared" si="9"/>
        <v>55308.333333333328</v>
      </c>
      <c r="K9" s="11">
        <f t="shared" si="4"/>
        <v>497774.99999999994</v>
      </c>
      <c r="L9" s="11">
        <f>(15.8*145000/12)+(0.03*(F9-(0.1*F9)))</f>
        <v>193751.66666666666</v>
      </c>
      <c r="M9" s="11">
        <f t="shared" si="5"/>
        <v>304023.33333333326</v>
      </c>
      <c r="N9" s="14">
        <f t="shared" si="6"/>
        <v>3020.8333333333335</v>
      </c>
      <c r="O9" s="11">
        <f t="shared" si="11"/>
        <v>301002.49999999994</v>
      </c>
      <c r="Q9" s="3"/>
    </row>
    <row r="10" spans="1:32">
      <c r="A10" s="9">
        <v>9</v>
      </c>
      <c r="B10" s="10">
        <v>45925</v>
      </c>
      <c r="C10" s="11">
        <f t="shared" si="7"/>
        <v>131250</v>
      </c>
      <c r="D10" s="12">
        <f t="shared" si="0"/>
        <v>102500</v>
      </c>
      <c r="E10" s="12">
        <f t="shared" si="8"/>
        <v>120833.33333333333</v>
      </c>
      <c r="F10" s="8">
        <f t="shared" si="1"/>
        <v>105000</v>
      </c>
      <c r="G10" s="11">
        <f t="shared" si="2"/>
        <v>459583.33333333331</v>
      </c>
      <c r="H10" s="12">
        <f t="shared" si="3"/>
        <v>93500</v>
      </c>
      <c r="I10" s="11">
        <f t="shared" si="12"/>
        <v>553083.33333333326</v>
      </c>
      <c r="J10" s="11">
        <f t="shared" si="9"/>
        <v>55308.333333333328</v>
      </c>
      <c r="K10" s="11">
        <f t="shared" si="4"/>
        <v>497774.99999999994</v>
      </c>
      <c r="L10" s="11">
        <f t="shared" si="10"/>
        <v>193751.66666666666</v>
      </c>
      <c r="M10" s="11">
        <f t="shared" si="5"/>
        <v>304023.33333333326</v>
      </c>
      <c r="N10" s="14">
        <f t="shared" si="6"/>
        <v>3020.8333333333335</v>
      </c>
      <c r="O10" s="11">
        <f t="shared" si="11"/>
        <v>301002.49999999994</v>
      </c>
      <c r="AF10" t="s">
        <v>39</v>
      </c>
    </row>
    <row r="11" spans="1:32">
      <c r="A11" s="9">
        <v>10</v>
      </c>
      <c r="B11" s="10">
        <v>45955</v>
      </c>
      <c r="C11" s="11">
        <f t="shared" si="7"/>
        <v>131250</v>
      </c>
      <c r="D11" s="12">
        <f t="shared" si="0"/>
        <v>102500</v>
      </c>
      <c r="E11" s="12">
        <f t="shared" si="8"/>
        <v>120833.33333333333</v>
      </c>
      <c r="F11" s="8">
        <f t="shared" si="1"/>
        <v>105000</v>
      </c>
      <c r="G11" s="11">
        <f t="shared" si="2"/>
        <v>459583.33333333331</v>
      </c>
      <c r="H11" s="12">
        <f t="shared" si="3"/>
        <v>93500</v>
      </c>
      <c r="I11" s="11">
        <f t="shared" si="12"/>
        <v>553083.33333333326</v>
      </c>
      <c r="J11" s="11">
        <f t="shared" si="9"/>
        <v>55308.333333333328</v>
      </c>
      <c r="K11" s="11">
        <f t="shared" si="4"/>
        <v>497774.99999999994</v>
      </c>
      <c r="L11" s="11">
        <f t="shared" si="10"/>
        <v>193751.66666666666</v>
      </c>
      <c r="M11" s="11">
        <f>(K11-L11)</f>
        <v>304023.33333333326</v>
      </c>
      <c r="N11" s="14">
        <f t="shared" si="6"/>
        <v>3020.8333333333335</v>
      </c>
      <c r="O11" s="11">
        <f t="shared" si="11"/>
        <v>301002.49999999994</v>
      </c>
    </row>
    <row r="12" spans="1:32">
      <c r="A12" s="9">
        <v>11</v>
      </c>
      <c r="B12" s="10">
        <v>45986</v>
      </c>
      <c r="C12" s="11">
        <f t="shared" si="7"/>
        <v>131250</v>
      </c>
      <c r="D12" s="12">
        <f t="shared" si="0"/>
        <v>102500</v>
      </c>
      <c r="E12" s="12">
        <f t="shared" si="8"/>
        <v>120833.33333333333</v>
      </c>
      <c r="F12" s="8">
        <f t="shared" si="1"/>
        <v>105000</v>
      </c>
      <c r="G12" s="11">
        <f t="shared" si="2"/>
        <v>459583.33333333331</v>
      </c>
      <c r="H12" s="12">
        <f t="shared" si="3"/>
        <v>93500</v>
      </c>
      <c r="I12" s="11">
        <f t="shared" si="12"/>
        <v>553083.33333333326</v>
      </c>
      <c r="J12" s="11">
        <f t="shared" si="9"/>
        <v>55308.333333333328</v>
      </c>
      <c r="K12" s="11">
        <f t="shared" si="4"/>
        <v>497774.99999999994</v>
      </c>
      <c r="L12" s="11">
        <f t="shared" si="10"/>
        <v>193751.66666666666</v>
      </c>
      <c r="M12" s="11">
        <f t="shared" si="5"/>
        <v>304023.33333333326</v>
      </c>
      <c r="N12" s="14">
        <f t="shared" si="6"/>
        <v>3020.8333333333335</v>
      </c>
      <c r="O12" s="11">
        <f t="shared" si="11"/>
        <v>301002.49999999994</v>
      </c>
    </row>
    <row r="13" spans="1:32">
      <c r="A13" s="9">
        <v>12</v>
      </c>
      <c r="B13" s="10">
        <v>46016</v>
      </c>
      <c r="C13" s="11">
        <f t="shared" si="7"/>
        <v>131250</v>
      </c>
      <c r="D13" s="12">
        <f t="shared" si="0"/>
        <v>102500</v>
      </c>
      <c r="E13" s="12">
        <f t="shared" si="8"/>
        <v>120833.33333333333</v>
      </c>
      <c r="F13" s="8">
        <f t="shared" si="1"/>
        <v>105000</v>
      </c>
      <c r="G13" s="11">
        <f t="shared" si="2"/>
        <v>459583.33333333331</v>
      </c>
      <c r="H13" s="12">
        <f t="shared" si="3"/>
        <v>93500</v>
      </c>
      <c r="I13" s="11">
        <f t="shared" si="12"/>
        <v>553083.33333333326</v>
      </c>
      <c r="J13" s="11">
        <f t="shared" si="9"/>
        <v>55308.333333333328</v>
      </c>
      <c r="K13" s="11">
        <f t="shared" si="4"/>
        <v>497774.99999999994</v>
      </c>
      <c r="L13" s="11">
        <f t="shared" si="10"/>
        <v>193751.66666666666</v>
      </c>
      <c r="M13" s="11">
        <f t="shared" si="5"/>
        <v>304023.33333333326</v>
      </c>
      <c r="N13" s="14">
        <f t="shared" si="6"/>
        <v>3020.8333333333335</v>
      </c>
      <c r="O13" s="11">
        <f t="shared" si="11"/>
        <v>301002.49999999994</v>
      </c>
    </row>
    <row r="14" spans="1:32">
      <c r="A14" s="9">
        <v>13</v>
      </c>
      <c r="B14" s="10">
        <v>46047</v>
      </c>
      <c r="C14" s="11">
        <f t="shared" si="7"/>
        <v>135187.5</v>
      </c>
      <c r="D14" s="12">
        <f>(41 * 30000) / 12 + IF((350 * 30000) &gt; 9800000, ((350 * 30000) - 9800000) * 0.1 / 12, 0)</f>
        <v>108333.33333333333</v>
      </c>
      <c r="E14" s="12">
        <f t="shared" si="8"/>
        <v>120833.33333333333</v>
      </c>
      <c r="F14" s="8">
        <f t="shared" si="1"/>
        <v>105000</v>
      </c>
      <c r="G14" s="11">
        <f t="shared" si="2"/>
        <v>469354.16666666663</v>
      </c>
      <c r="H14" s="12">
        <f t="shared" si="3"/>
        <v>93500</v>
      </c>
      <c r="I14" s="11">
        <f>G14+H14</f>
        <v>562854.16666666663</v>
      </c>
      <c r="J14" s="11">
        <f t="shared" si="9"/>
        <v>56285.416666666664</v>
      </c>
      <c r="K14" s="11">
        <f t="shared" si="4"/>
        <v>506568.74999999994</v>
      </c>
      <c r="L14" s="11">
        <f t="shared" si="10"/>
        <v>193751.66666666666</v>
      </c>
      <c r="M14" s="11">
        <f t="shared" si="5"/>
        <v>312817.08333333326</v>
      </c>
      <c r="N14" s="14">
        <f>(0.25*145000/12)*(1+3%)^(INT((A14-1)/12))</f>
        <v>3111.4583333333335</v>
      </c>
      <c r="O14" s="11">
        <f t="shared" si="11"/>
        <v>309705.62499999994</v>
      </c>
    </row>
    <row r="15" spans="1:32">
      <c r="A15" s="9">
        <v>14</v>
      </c>
      <c r="B15" s="10">
        <v>46078</v>
      </c>
      <c r="C15" s="11">
        <f t="shared" si="7"/>
        <v>135187.5</v>
      </c>
      <c r="D15" s="12">
        <f t="shared" ref="D15:D25" si="13">(41 * 30000) / 12 + IF((350 * 30000) &gt; 9800000, ((350 * 30000) - 9800000) * 0.1 / 12, 0)</f>
        <v>108333.33333333333</v>
      </c>
      <c r="E15" s="12">
        <f t="shared" si="8"/>
        <v>120833.33333333333</v>
      </c>
      <c r="F15" s="8">
        <f t="shared" si="1"/>
        <v>105000</v>
      </c>
      <c r="G15" s="11">
        <f t="shared" si="2"/>
        <v>469354.16666666663</v>
      </c>
      <c r="H15" s="12">
        <f t="shared" si="3"/>
        <v>93500</v>
      </c>
      <c r="I15" s="11">
        <f>G15+H15</f>
        <v>562854.16666666663</v>
      </c>
      <c r="J15" s="11">
        <f t="shared" si="9"/>
        <v>56285.416666666664</v>
      </c>
      <c r="K15" s="11">
        <f t="shared" si="4"/>
        <v>506568.74999999994</v>
      </c>
      <c r="L15" s="11">
        <f t="shared" si="10"/>
        <v>193751.66666666666</v>
      </c>
      <c r="M15" s="11">
        <f t="shared" si="5"/>
        <v>312817.08333333326</v>
      </c>
      <c r="N15" s="14">
        <f t="shared" si="6"/>
        <v>3111.4583333333335</v>
      </c>
      <c r="O15" s="11">
        <f t="shared" si="11"/>
        <v>309705.62499999994</v>
      </c>
    </row>
    <row r="16" spans="1:32">
      <c r="A16" s="9">
        <v>15</v>
      </c>
      <c r="B16" s="10">
        <v>46106</v>
      </c>
      <c r="C16" s="11">
        <f t="shared" si="7"/>
        <v>135187.5</v>
      </c>
      <c r="D16" s="12">
        <f t="shared" si="13"/>
        <v>108333.33333333333</v>
      </c>
      <c r="E16" s="12">
        <f t="shared" si="8"/>
        <v>120833.33333333333</v>
      </c>
      <c r="F16" s="8">
        <f t="shared" si="1"/>
        <v>105000</v>
      </c>
      <c r="G16" s="11">
        <f t="shared" si="2"/>
        <v>469354.16666666663</v>
      </c>
      <c r="H16" s="12">
        <f t="shared" si="3"/>
        <v>93500</v>
      </c>
      <c r="I16" s="11">
        <f t="shared" si="12"/>
        <v>562854.16666666663</v>
      </c>
      <c r="J16" s="11">
        <f t="shared" si="9"/>
        <v>56285.416666666664</v>
      </c>
      <c r="K16" s="11">
        <f t="shared" si="4"/>
        <v>506568.74999999994</v>
      </c>
      <c r="L16" s="11">
        <f t="shared" si="10"/>
        <v>193751.66666666666</v>
      </c>
      <c r="M16" s="11">
        <f t="shared" si="5"/>
        <v>312817.08333333326</v>
      </c>
      <c r="N16" s="14">
        <f t="shared" si="6"/>
        <v>3111.4583333333335</v>
      </c>
      <c r="O16" s="11">
        <f>(M16-N16)</f>
        <v>309705.62499999994</v>
      </c>
    </row>
    <row r="17" spans="1:15">
      <c r="A17" s="9">
        <v>16</v>
      </c>
      <c r="B17" s="10">
        <v>46137</v>
      </c>
      <c r="C17" s="11">
        <f t="shared" si="7"/>
        <v>135187.5</v>
      </c>
      <c r="D17" s="12">
        <f t="shared" si="13"/>
        <v>108333.33333333333</v>
      </c>
      <c r="E17" s="12">
        <f t="shared" si="8"/>
        <v>120833.33333333333</v>
      </c>
      <c r="F17" s="8">
        <f t="shared" si="1"/>
        <v>105000</v>
      </c>
      <c r="G17" s="11">
        <f t="shared" si="2"/>
        <v>469354.16666666663</v>
      </c>
      <c r="H17" s="12">
        <f t="shared" si="3"/>
        <v>93500</v>
      </c>
      <c r="I17" s="11">
        <f t="shared" si="12"/>
        <v>562854.16666666663</v>
      </c>
      <c r="J17" s="11">
        <f t="shared" si="9"/>
        <v>56285.416666666664</v>
      </c>
      <c r="K17" s="11">
        <f t="shared" si="4"/>
        <v>506568.74999999994</v>
      </c>
      <c r="L17" s="11">
        <f t="shared" si="10"/>
        <v>193751.66666666666</v>
      </c>
      <c r="M17" s="11">
        <f t="shared" si="5"/>
        <v>312817.08333333326</v>
      </c>
      <c r="N17" s="14">
        <f t="shared" si="6"/>
        <v>3111.4583333333335</v>
      </c>
      <c r="O17" s="11">
        <f t="shared" si="11"/>
        <v>309705.62499999994</v>
      </c>
    </row>
    <row r="18" spans="1:15">
      <c r="A18" s="9">
        <v>17</v>
      </c>
      <c r="B18" s="10">
        <v>46167</v>
      </c>
      <c r="C18" s="11">
        <f t="shared" si="7"/>
        <v>135187.5</v>
      </c>
      <c r="D18" s="12">
        <f t="shared" si="13"/>
        <v>108333.33333333333</v>
      </c>
      <c r="E18" s="12">
        <f t="shared" si="8"/>
        <v>120833.33333333333</v>
      </c>
      <c r="F18" s="8">
        <f t="shared" si="1"/>
        <v>105000</v>
      </c>
      <c r="G18" s="11">
        <f t="shared" si="2"/>
        <v>469354.16666666663</v>
      </c>
      <c r="H18" s="12">
        <f t="shared" si="3"/>
        <v>93500</v>
      </c>
      <c r="I18" s="11">
        <f t="shared" si="12"/>
        <v>562854.16666666663</v>
      </c>
      <c r="J18" s="11">
        <f t="shared" si="9"/>
        <v>56285.416666666664</v>
      </c>
      <c r="K18" s="11">
        <f t="shared" si="4"/>
        <v>506568.74999999994</v>
      </c>
      <c r="L18" s="11">
        <f t="shared" si="10"/>
        <v>193751.66666666666</v>
      </c>
      <c r="M18" s="11">
        <f t="shared" si="5"/>
        <v>312817.08333333326</v>
      </c>
      <c r="N18" s="14">
        <f t="shared" si="6"/>
        <v>3111.4583333333335</v>
      </c>
      <c r="O18" s="11">
        <f t="shared" si="11"/>
        <v>309705.62499999994</v>
      </c>
    </row>
    <row r="19" spans="1:15">
      <c r="A19" s="9">
        <v>18</v>
      </c>
      <c r="B19" s="10">
        <v>46198</v>
      </c>
      <c r="C19" s="11">
        <f t="shared" si="7"/>
        <v>135187.5</v>
      </c>
      <c r="D19" s="12">
        <f t="shared" si="13"/>
        <v>108333.33333333333</v>
      </c>
      <c r="E19" s="12">
        <f t="shared" si="8"/>
        <v>120833.33333333333</v>
      </c>
      <c r="F19" s="8">
        <f t="shared" si="1"/>
        <v>105000</v>
      </c>
      <c r="G19" s="11">
        <f t="shared" si="2"/>
        <v>469354.16666666663</v>
      </c>
      <c r="H19" s="12">
        <f t="shared" si="3"/>
        <v>93500</v>
      </c>
      <c r="I19" s="11">
        <f t="shared" si="12"/>
        <v>562854.16666666663</v>
      </c>
      <c r="J19" s="11">
        <f t="shared" si="9"/>
        <v>56285.416666666664</v>
      </c>
      <c r="K19" s="11">
        <f t="shared" si="4"/>
        <v>506568.74999999994</v>
      </c>
      <c r="L19" s="11">
        <f t="shared" si="10"/>
        <v>193751.66666666666</v>
      </c>
      <c r="M19" s="11">
        <f t="shared" si="5"/>
        <v>312817.08333333326</v>
      </c>
      <c r="N19" s="14">
        <f t="shared" si="6"/>
        <v>3111.4583333333335</v>
      </c>
      <c r="O19" s="11">
        <f t="shared" si="11"/>
        <v>309705.62499999994</v>
      </c>
    </row>
    <row r="20" spans="1:15">
      <c r="A20" s="9">
        <v>19</v>
      </c>
      <c r="B20" s="10">
        <v>46228</v>
      </c>
      <c r="C20" s="11">
        <f t="shared" si="7"/>
        <v>135187.5</v>
      </c>
      <c r="D20" s="12">
        <f t="shared" si="13"/>
        <v>108333.33333333333</v>
      </c>
      <c r="E20" s="12">
        <f t="shared" si="8"/>
        <v>120833.33333333333</v>
      </c>
      <c r="F20" s="8">
        <f t="shared" si="1"/>
        <v>105000</v>
      </c>
      <c r="G20" s="11">
        <f t="shared" si="2"/>
        <v>469354.16666666663</v>
      </c>
      <c r="H20" s="12">
        <f t="shared" si="3"/>
        <v>93500</v>
      </c>
      <c r="I20" s="11">
        <f t="shared" si="12"/>
        <v>562854.16666666663</v>
      </c>
      <c r="J20" s="11">
        <f t="shared" si="9"/>
        <v>56285.416666666664</v>
      </c>
      <c r="K20" s="11">
        <f t="shared" si="4"/>
        <v>506568.74999999994</v>
      </c>
      <c r="L20" s="11">
        <f t="shared" si="10"/>
        <v>193751.66666666666</v>
      </c>
      <c r="M20" s="11">
        <f t="shared" si="5"/>
        <v>312817.08333333326</v>
      </c>
      <c r="N20" s="14">
        <f t="shared" si="6"/>
        <v>3111.4583333333335</v>
      </c>
      <c r="O20" s="11">
        <f t="shared" si="11"/>
        <v>309705.62499999994</v>
      </c>
    </row>
    <row r="21" spans="1:15">
      <c r="A21" s="9">
        <v>20</v>
      </c>
      <c r="B21" s="10">
        <v>46259</v>
      </c>
      <c r="C21" s="11">
        <f t="shared" si="7"/>
        <v>135187.5</v>
      </c>
      <c r="D21" s="12">
        <f t="shared" si="13"/>
        <v>108333.33333333333</v>
      </c>
      <c r="E21" s="12">
        <f t="shared" si="8"/>
        <v>120833.33333333333</v>
      </c>
      <c r="F21" s="8">
        <f t="shared" si="1"/>
        <v>105000</v>
      </c>
      <c r="G21" s="11">
        <f t="shared" si="2"/>
        <v>469354.16666666663</v>
      </c>
      <c r="H21" s="12">
        <f t="shared" si="3"/>
        <v>93500</v>
      </c>
      <c r="I21" s="11">
        <f t="shared" si="12"/>
        <v>562854.16666666663</v>
      </c>
      <c r="J21" s="11">
        <f t="shared" si="9"/>
        <v>56285.416666666664</v>
      </c>
      <c r="K21" s="11">
        <f t="shared" si="4"/>
        <v>506568.74999999994</v>
      </c>
      <c r="L21" s="11">
        <f t="shared" si="10"/>
        <v>193751.66666666666</v>
      </c>
      <c r="M21" s="11">
        <f t="shared" si="5"/>
        <v>312817.08333333326</v>
      </c>
      <c r="N21" s="14">
        <f t="shared" si="6"/>
        <v>3111.4583333333335</v>
      </c>
      <c r="O21" s="11">
        <f t="shared" si="11"/>
        <v>309705.62499999994</v>
      </c>
    </row>
    <row r="22" spans="1:15">
      <c r="A22" s="9">
        <v>21</v>
      </c>
      <c r="B22" s="10">
        <v>46290</v>
      </c>
      <c r="C22" s="11">
        <f t="shared" si="7"/>
        <v>135187.5</v>
      </c>
      <c r="D22" s="12">
        <f t="shared" si="13"/>
        <v>108333.33333333333</v>
      </c>
      <c r="E22" s="12">
        <f t="shared" si="8"/>
        <v>120833.33333333333</v>
      </c>
      <c r="F22" s="8">
        <f t="shared" si="1"/>
        <v>105000</v>
      </c>
      <c r="G22" s="11">
        <f t="shared" si="2"/>
        <v>469354.16666666663</v>
      </c>
      <c r="H22" s="12">
        <f t="shared" si="3"/>
        <v>93500</v>
      </c>
      <c r="I22" s="11">
        <f t="shared" si="12"/>
        <v>562854.16666666663</v>
      </c>
      <c r="J22" s="11">
        <f t="shared" si="9"/>
        <v>56285.416666666664</v>
      </c>
      <c r="K22" s="11">
        <f t="shared" si="4"/>
        <v>506568.74999999994</v>
      </c>
      <c r="L22" s="11">
        <f t="shared" si="10"/>
        <v>193751.66666666666</v>
      </c>
      <c r="M22" s="11">
        <f t="shared" si="5"/>
        <v>312817.08333333326</v>
      </c>
      <c r="N22" s="14">
        <f t="shared" si="6"/>
        <v>3111.4583333333335</v>
      </c>
      <c r="O22" s="11">
        <f t="shared" si="11"/>
        <v>309705.62499999994</v>
      </c>
    </row>
    <row r="23" spans="1:15">
      <c r="A23" s="9">
        <v>22</v>
      </c>
      <c r="B23" s="10">
        <v>46320</v>
      </c>
      <c r="C23" s="11">
        <f t="shared" si="7"/>
        <v>135187.5</v>
      </c>
      <c r="D23" s="12">
        <f t="shared" si="13"/>
        <v>108333.33333333333</v>
      </c>
      <c r="E23" s="12">
        <f t="shared" si="8"/>
        <v>120833.33333333333</v>
      </c>
      <c r="F23" s="8">
        <f t="shared" si="1"/>
        <v>105000</v>
      </c>
      <c r="G23" s="11">
        <f t="shared" si="2"/>
        <v>469354.16666666663</v>
      </c>
      <c r="H23" s="12">
        <f t="shared" si="3"/>
        <v>93500</v>
      </c>
      <c r="I23" s="11">
        <f t="shared" si="12"/>
        <v>562854.16666666663</v>
      </c>
      <c r="J23" s="11">
        <f t="shared" si="9"/>
        <v>56285.416666666664</v>
      </c>
      <c r="K23" s="11">
        <f t="shared" si="4"/>
        <v>506568.74999999994</v>
      </c>
      <c r="L23" s="11">
        <f t="shared" si="10"/>
        <v>193751.66666666666</v>
      </c>
      <c r="M23" s="11">
        <f t="shared" si="5"/>
        <v>312817.08333333326</v>
      </c>
      <c r="N23" s="14">
        <f t="shared" si="6"/>
        <v>3111.4583333333335</v>
      </c>
      <c r="O23" s="11">
        <f t="shared" si="11"/>
        <v>309705.62499999994</v>
      </c>
    </row>
    <row r="24" spans="1:15">
      <c r="A24" s="9">
        <v>23</v>
      </c>
      <c r="B24" s="10">
        <v>46351</v>
      </c>
      <c r="C24" s="11">
        <f t="shared" si="7"/>
        <v>135187.5</v>
      </c>
      <c r="D24" s="12">
        <f t="shared" si="13"/>
        <v>108333.33333333333</v>
      </c>
      <c r="E24" s="12">
        <f t="shared" si="8"/>
        <v>120833.33333333333</v>
      </c>
      <c r="F24" s="8">
        <f t="shared" si="1"/>
        <v>105000</v>
      </c>
      <c r="G24" s="11">
        <f t="shared" si="2"/>
        <v>469354.16666666663</v>
      </c>
      <c r="H24" s="12">
        <f t="shared" si="3"/>
        <v>93500</v>
      </c>
      <c r="I24" s="11">
        <f t="shared" si="12"/>
        <v>562854.16666666663</v>
      </c>
      <c r="J24" s="11">
        <f t="shared" si="9"/>
        <v>56285.416666666664</v>
      </c>
      <c r="K24" s="11">
        <f t="shared" si="4"/>
        <v>506568.74999999994</v>
      </c>
      <c r="L24" s="11">
        <f t="shared" si="10"/>
        <v>193751.66666666666</v>
      </c>
      <c r="M24" s="11">
        <f t="shared" si="5"/>
        <v>312817.08333333326</v>
      </c>
      <c r="N24" s="14">
        <f t="shared" si="6"/>
        <v>3111.4583333333335</v>
      </c>
      <c r="O24" s="11">
        <f t="shared" si="11"/>
        <v>309705.62499999994</v>
      </c>
    </row>
    <row r="25" spans="1:15">
      <c r="A25" s="9">
        <v>24</v>
      </c>
      <c r="B25" s="10">
        <v>46381</v>
      </c>
      <c r="C25" s="11">
        <f t="shared" si="7"/>
        <v>135187.5</v>
      </c>
      <c r="D25" s="12">
        <f t="shared" si="13"/>
        <v>108333.33333333333</v>
      </c>
      <c r="E25" s="12">
        <f t="shared" si="8"/>
        <v>120833.33333333333</v>
      </c>
      <c r="F25" s="8">
        <f t="shared" si="1"/>
        <v>105000</v>
      </c>
      <c r="G25" s="11">
        <f t="shared" si="2"/>
        <v>469354.16666666663</v>
      </c>
      <c r="H25" s="12">
        <f t="shared" si="3"/>
        <v>93500</v>
      </c>
      <c r="I25" s="11">
        <f t="shared" si="12"/>
        <v>562854.16666666663</v>
      </c>
      <c r="J25" s="11">
        <f t="shared" si="9"/>
        <v>56285.416666666664</v>
      </c>
      <c r="K25" s="11">
        <f t="shared" si="4"/>
        <v>506568.74999999994</v>
      </c>
      <c r="L25" s="11">
        <f t="shared" si="10"/>
        <v>193751.66666666666</v>
      </c>
      <c r="M25" s="11">
        <f t="shared" si="5"/>
        <v>312817.08333333326</v>
      </c>
      <c r="N25" s="14">
        <f>(0.25*145000/12)*(1+3%)^(INT((A25-1)/12))</f>
        <v>3111.4583333333335</v>
      </c>
      <c r="O25" s="11">
        <f t="shared" si="11"/>
        <v>309705.62499999994</v>
      </c>
    </row>
    <row r="26" spans="1:15">
      <c r="A26" s="9">
        <v>25</v>
      </c>
      <c r="B26" s="10">
        <v>46412</v>
      </c>
      <c r="C26" s="11">
        <f t="shared" si="7"/>
        <v>139243.125</v>
      </c>
      <c r="D26" s="12">
        <f>(41 * 30000) / 12 + IF((410 * 30000) &gt; 9800000, ((410 * 30000) - 9800000) * 0.1 / 12, 0)</f>
        <v>123333.33333333333</v>
      </c>
      <c r="E26" s="12">
        <f t="shared" si="8"/>
        <v>120833.33333333333</v>
      </c>
      <c r="F26" s="8">
        <f t="shared" si="1"/>
        <v>105000</v>
      </c>
      <c r="G26" s="11">
        <f t="shared" si="2"/>
        <v>488409.79166666663</v>
      </c>
      <c r="H26" s="12">
        <f t="shared" si="3"/>
        <v>93500</v>
      </c>
      <c r="I26" s="11">
        <f t="shared" si="12"/>
        <v>581909.79166666663</v>
      </c>
      <c r="J26" s="11">
        <f t="shared" si="9"/>
        <v>58190.979166666664</v>
      </c>
      <c r="K26" s="11">
        <f t="shared" si="4"/>
        <v>523718.81249999994</v>
      </c>
      <c r="L26" s="11">
        <f t="shared" si="10"/>
        <v>193751.66666666666</v>
      </c>
      <c r="M26" s="11">
        <f>(K26-L26)</f>
        <v>329967.14583333326</v>
      </c>
      <c r="N26" s="14">
        <f>(0.25*145000/12)*(1+3%)^(INT((A26-1)/12))</f>
        <v>3204.8020833333335</v>
      </c>
      <c r="O26" s="11">
        <f t="shared" si="11"/>
        <v>326762.34374999994</v>
      </c>
    </row>
    <row r="27" spans="1:15">
      <c r="A27" s="9">
        <v>26</v>
      </c>
      <c r="B27" s="10">
        <v>46443</v>
      </c>
      <c r="C27" s="11">
        <f t="shared" si="7"/>
        <v>139243.125</v>
      </c>
      <c r="D27" s="12">
        <f t="shared" ref="D27:D37" si="14">(41 * 30000) / 12 + IF((410 * 30000) &gt; 9800000, ((410 * 30000) - 9800000) * 0.1 / 12, 0)</f>
        <v>123333.33333333333</v>
      </c>
      <c r="E27" s="12">
        <f t="shared" si="8"/>
        <v>120833.33333333333</v>
      </c>
      <c r="F27" s="8">
        <f t="shared" si="1"/>
        <v>105000</v>
      </c>
      <c r="G27" s="11">
        <f t="shared" si="2"/>
        <v>488409.79166666663</v>
      </c>
      <c r="H27" s="12">
        <f t="shared" si="3"/>
        <v>93500</v>
      </c>
      <c r="I27" s="11">
        <f t="shared" si="12"/>
        <v>581909.79166666663</v>
      </c>
      <c r="J27" s="11">
        <f t="shared" si="9"/>
        <v>58190.979166666664</v>
      </c>
      <c r="K27" s="11">
        <f t="shared" si="4"/>
        <v>523718.81249999994</v>
      </c>
      <c r="L27" s="11">
        <f t="shared" si="10"/>
        <v>193751.66666666666</v>
      </c>
      <c r="M27" s="11">
        <f t="shared" si="5"/>
        <v>329967.14583333326</v>
      </c>
      <c r="N27" s="14">
        <f>(0.25*145000/12)*(1+3%)^(INT((A27-1)/12))</f>
        <v>3204.8020833333335</v>
      </c>
      <c r="O27" s="11">
        <f t="shared" si="11"/>
        <v>326762.34374999994</v>
      </c>
    </row>
    <row r="28" spans="1:15">
      <c r="A28" s="9">
        <v>27</v>
      </c>
      <c r="B28" s="10">
        <v>46471</v>
      </c>
      <c r="C28" s="11">
        <f t="shared" si="7"/>
        <v>139243.125</v>
      </c>
      <c r="D28" s="12">
        <f t="shared" si="14"/>
        <v>123333.33333333333</v>
      </c>
      <c r="E28" s="12">
        <f t="shared" si="8"/>
        <v>120833.33333333333</v>
      </c>
      <c r="F28" s="8">
        <f t="shared" si="1"/>
        <v>105000</v>
      </c>
      <c r="G28" s="11">
        <f t="shared" si="2"/>
        <v>488409.79166666663</v>
      </c>
      <c r="H28" s="12">
        <f t="shared" si="3"/>
        <v>93500</v>
      </c>
      <c r="I28" s="11">
        <f t="shared" si="12"/>
        <v>581909.79166666663</v>
      </c>
      <c r="J28" s="11">
        <f t="shared" si="9"/>
        <v>58190.979166666664</v>
      </c>
      <c r="K28" s="11">
        <f t="shared" si="4"/>
        <v>523718.81249999994</v>
      </c>
      <c r="L28" s="11">
        <f t="shared" si="10"/>
        <v>193751.66666666666</v>
      </c>
      <c r="M28" s="11">
        <f t="shared" si="5"/>
        <v>329967.14583333326</v>
      </c>
      <c r="N28" s="14">
        <f t="shared" si="6"/>
        <v>3204.8020833333335</v>
      </c>
      <c r="O28" s="11">
        <f t="shared" si="11"/>
        <v>326762.34374999994</v>
      </c>
    </row>
    <row r="29" spans="1:15">
      <c r="A29" s="9">
        <v>28</v>
      </c>
      <c r="B29" s="10">
        <v>46502</v>
      </c>
      <c r="C29" s="11">
        <f t="shared" si="7"/>
        <v>139243.125</v>
      </c>
      <c r="D29" s="12">
        <f t="shared" si="14"/>
        <v>123333.33333333333</v>
      </c>
      <c r="E29" s="12">
        <f t="shared" si="8"/>
        <v>120833.33333333333</v>
      </c>
      <c r="F29" s="8">
        <f t="shared" si="1"/>
        <v>105000</v>
      </c>
      <c r="G29" s="11">
        <f t="shared" si="2"/>
        <v>488409.79166666663</v>
      </c>
      <c r="H29" s="12">
        <f t="shared" si="3"/>
        <v>93500</v>
      </c>
      <c r="I29" s="11">
        <f t="shared" si="12"/>
        <v>581909.79166666663</v>
      </c>
      <c r="J29" s="11">
        <f t="shared" si="9"/>
        <v>58190.979166666664</v>
      </c>
      <c r="K29" s="11">
        <f t="shared" si="4"/>
        <v>523718.81249999994</v>
      </c>
      <c r="L29" s="11">
        <f t="shared" si="10"/>
        <v>193751.66666666666</v>
      </c>
      <c r="M29" s="11">
        <f t="shared" si="5"/>
        <v>329967.14583333326</v>
      </c>
      <c r="N29" s="14">
        <f t="shared" si="6"/>
        <v>3204.8020833333335</v>
      </c>
      <c r="O29" s="11">
        <f t="shared" si="11"/>
        <v>326762.34374999994</v>
      </c>
    </row>
    <row r="30" spans="1:15">
      <c r="A30" s="9">
        <v>29</v>
      </c>
      <c r="B30" s="10">
        <v>46532</v>
      </c>
      <c r="C30" s="11">
        <f t="shared" si="7"/>
        <v>139243.125</v>
      </c>
      <c r="D30" s="12">
        <f t="shared" si="14"/>
        <v>123333.33333333333</v>
      </c>
      <c r="E30" s="12">
        <f t="shared" si="8"/>
        <v>120833.33333333333</v>
      </c>
      <c r="F30" s="8">
        <f t="shared" si="1"/>
        <v>105000</v>
      </c>
      <c r="G30" s="11">
        <f t="shared" si="2"/>
        <v>488409.79166666663</v>
      </c>
      <c r="H30" s="12">
        <f t="shared" si="3"/>
        <v>93500</v>
      </c>
      <c r="I30" s="11">
        <f t="shared" si="12"/>
        <v>581909.79166666663</v>
      </c>
      <c r="J30" s="11">
        <f t="shared" si="9"/>
        <v>58190.979166666664</v>
      </c>
      <c r="K30" s="11">
        <f t="shared" si="4"/>
        <v>523718.81249999994</v>
      </c>
      <c r="L30" s="11">
        <f t="shared" si="10"/>
        <v>193751.66666666666</v>
      </c>
      <c r="M30" s="11">
        <f t="shared" si="5"/>
        <v>329967.14583333326</v>
      </c>
      <c r="N30" s="14">
        <f t="shared" si="6"/>
        <v>3204.8020833333335</v>
      </c>
      <c r="O30" s="11">
        <f t="shared" si="11"/>
        <v>326762.34374999994</v>
      </c>
    </row>
    <row r="31" spans="1:15">
      <c r="A31" s="9">
        <v>30</v>
      </c>
      <c r="B31" s="10">
        <v>46563</v>
      </c>
      <c r="C31" s="11">
        <f t="shared" si="7"/>
        <v>139243.125</v>
      </c>
      <c r="D31" s="12">
        <f t="shared" si="14"/>
        <v>123333.33333333333</v>
      </c>
      <c r="E31" s="12">
        <f t="shared" si="8"/>
        <v>120833.33333333333</v>
      </c>
      <c r="F31" s="8">
        <f t="shared" si="1"/>
        <v>105000</v>
      </c>
      <c r="G31" s="11">
        <f t="shared" si="2"/>
        <v>488409.79166666663</v>
      </c>
      <c r="H31" s="12">
        <f t="shared" si="3"/>
        <v>93500</v>
      </c>
      <c r="I31" s="11">
        <f t="shared" si="12"/>
        <v>581909.79166666663</v>
      </c>
      <c r="J31" s="11">
        <f t="shared" si="9"/>
        <v>58190.979166666664</v>
      </c>
      <c r="K31" s="11">
        <f t="shared" si="4"/>
        <v>523718.81249999994</v>
      </c>
      <c r="L31" s="11">
        <f t="shared" si="10"/>
        <v>193751.66666666666</v>
      </c>
      <c r="M31" s="11">
        <f t="shared" si="5"/>
        <v>329967.14583333326</v>
      </c>
      <c r="N31" s="14">
        <f t="shared" si="6"/>
        <v>3204.8020833333335</v>
      </c>
      <c r="O31" s="11">
        <f t="shared" si="11"/>
        <v>326762.34374999994</v>
      </c>
    </row>
    <row r="32" spans="1:15">
      <c r="A32" s="9">
        <v>31</v>
      </c>
      <c r="B32" s="10">
        <v>46593</v>
      </c>
      <c r="C32" s="11">
        <f t="shared" si="7"/>
        <v>139243.125</v>
      </c>
      <c r="D32" s="12">
        <f t="shared" si="14"/>
        <v>123333.33333333333</v>
      </c>
      <c r="E32" s="12">
        <f t="shared" si="8"/>
        <v>120833.33333333333</v>
      </c>
      <c r="F32" s="8">
        <f t="shared" si="1"/>
        <v>105000</v>
      </c>
      <c r="G32" s="11">
        <f t="shared" si="2"/>
        <v>488409.79166666663</v>
      </c>
      <c r="H32" s="12">
        <f t="shared" si="3"/>
        <v>93500</v>
      </c>
      <c r="I32" s="11">
        <f t="shared" si="12"/>
        <v>581909.79166666663</v>
      </c>
      <c r="J32" s="11">
        <f t="shared" si="9"/>
        <v>58190.979166666664</v>
      </c>
      <c r="K32" s="11">
        <f t="shared" si="4"/>
        <v>523718.81249999994</v>
      </c>
      <c r="L32" s="11">
        <f t="shared" si="10"/>
        <v>193751.66666666666</v>
      </c>
      <c r="M32" s="11">
        <f t="shared" si="5"/>
        <v>329967.14583333326</v>
      </c>
      <c r="N32" s="14">
        <f t="shared" si="6"/>
        <v>3204.8020833333335</v>
      </c>
      <c r="O32" s="11">
        <f t="shared" si="11"/>
        <v>326762.34374999994</v>
      </c>
    </row>
    <row r="33" spans="1:15">
      <c r="A33" s="9">
        <v>32</v>
      </c>
      <c r="B33" s="10">
        <v>46624</v>
      </c>
      <c r="C33" s="11">
        <f t="shared" si="7"/>
        <v>139243.125</v>
      </c>
      <c r="D33" s="12">
        <f t="shared" si="14"/>
        <v>123333.33333333333</v>
      </c>
      <c r="E33" s="12">
        <f t="shared" si="8"/>
        <v>120833.33333333333</v>
      </c>
      <c r="F33" s="8">
        <f t="shared" si="1"/>
        <v>105000</v>
      </c>
      <c r="G33" s="11">
        <f t="shared" si="2"/>
        <v>488409.79166666663</v>
      </c>
      <c r="H33" s="12">
        <f t="shared" si="3"/>
        <v>93500</v>
      </c>
      <c r="I33" s="11">
        <f t="shared" si="12"/>
        <v>581909.79166666663</v>
      </c>
      <c r="J33" s="11">
        <f t="shared" si="9"/>
        <v>58190.979166666664</v>
      </c>
      <c r="K33" s="11">
        <f t="shared" si="4"/>
        <v>523718.81249999994</v>
      </c>
      <c r="L33" s="11">
        <f t="shared" si="10"/>
        <v>193751.66666666666</v>
      </c>
      <c r="M33" s="11">
        <f t="shared" si="5"/>
        <v>329967.14583333326</v>
      </c>
      <c r="N33" s="14">
        <f t="shared" si="6"/>
        <v>3204.8020833333335</v>
      </c>
      <c r="O33" s="11">
        <f t="shared" si="11"/>
        <v>326762.34374999994</v>
      </c>
    </row>
    <row r="34" spans="1:15">
      <c r="A34" s="9">
        <v>33</v>
      </c>
      <c r="B34" s="10">
        <v>46655</v>
      </c>
      <c r="C34" s="11">
        <f t="shared" si="7"/>
        <v>139243.125</v>
      </c>
      <c r="D34" s="12">
        <f>(41 * 30000) / 12 + IF((410 * 30000) &gt; 9800000, ((410 * 30000) - 9800000) * 0.1 / 12, 0)</f>
        <v>123333.33333333333</v>
      </c>
      <c r="E34" s="12">
        <f t="shared" si="8"/>
        <v>120833.33333333333</v>
      </c>
      <c r="F34" s="8">
        <f t="shared" si="1"/>
        <v>105000</v>
      </c>
      <c r="G34" s="11">
        <f t="shared" si="2"/>
        <v>488409.79166666663</v>
      </c>
      <c r="H34" s="12">
        <f t="shared" si="3"/>
        <v>93500</v>
      </c>
      <c r="I34" s="11">
        <f t="shared" si="12"/>
        <v>581909.79166666663</v>
      </c>
      <c r="J34" s="11">
        <f t="shared" si="9"/>
        <v>58190.979166666664</v>
      </c>
      <c r="K34" s="11">
        <f t="shared" si="4"/>
        <v>523718.81249999994</v>
      </c>
      <c r="L34" s="11">
        <f t="shared" si="10"/>
        <v>193751.66666666666</v>
      </c>
      <c r="M34" s="11">
        <f t="shared" si="5"/>
        <v>329967.14583333326</v>
      </c>
      <c r="N34" s="14">
        <f t="shared" si="6"/>
        <v>3204.8020833333335</v>
      </c>
      <c r="O34" s="11">
        <f t="shared" si="11"/>
        <v>326762.34374999994</v>
      </c>
    </row>
    <row r="35" spans="1:15">
      <c r="A35" s="9">
        <v>34</v>
      </c>
      <c r="B35" s="10">
        <v>46685</v>
      </c>
      <c r="C35" s="11">
        <f t="shared" si="7"/>
        <v>139243.125</v>
      </c>
      <c r="D35" s="12">
        <f t="shared" si="14"/>
        <v>123333.33333333333</v>
      </c>
      <c r="E35" s="12">
        <f t="shared" si="8"/>
        <v>120833.33333333333</v>
      </c>
      <c r="F35" s="8">
        <f t="shared" si="1"/>
        <v>105000</v>
      </c>
      <c r="G35" s="11">
        <f t="shared" si="2"/>
        <v>488409.79166666663</v>
      </c>
      <c r="H35" s="12">
        <f t="shared" si="3"/>
        <v>93500</v>
      </c>
      <c r="I35" s="11">
        <f t="shared" si="12"/>
        <v>581909.79166666663</v>
      </c>
      <c r="J35" s="11">
        <f t="shared" si="9"/>
        <v>58190.979166666664</v>
      </c>
      <c r="K35" s="11">
        <f t="shared" si="4"/>
        <v>523718.81249999994</v>
      </c>
      <c r="L35" s="11">
        <f t="shared" si="10"/>
        <v>193751.66666666666</v>
      </c>
      <c r="M35" s="11">
        <f t="shared" si="5"/>
        <v>329967.14583333326</v>
      </c>
      <c r="N35" s="14">
        <f t="shared" si="6"/>
        <v>3204.8020833333335</v>
      </c>
      <c r="O35" s="11">
        <f t="shared" si="11"/>
        <v>326762.34374999994</v>
      </c>
    </row>
    <row r="36" spans="1:15">
      <c r="A36" s="9">
        <v>35</v>
      </c>
      <c r="B36" s="10">
        <v>46716</v>
      </c>
      <c r="C36" s="11">
        <f t="shared" si="7"/>
        <v>139243.125</v>
      </c>
      <c r="D36" s="12">
        <f t="shared" si="14"/>
        <v>123333.33333333333</v>
      </c>
      <c r="E36" s="12">
        <f t="shared" si="8"/>
        <v>120833.33333333333</v>
      </c>
      <c r="F36" s="8">
        <f t="shared" si="1"/>
        <v>105000</v>
      </c>
      <c r="G36" s="11">
        <f t="shared" si="2"/>
        <v>488409.79166666663</v>
      </c>
      <c r="H36" s="12">
        <f t="shared" si="3"/>
        <v>93500</v>
      </c>
      <c r="I36" s="11">
        <f t="shared" si="12"/>
        <v>581909.79166666663</v>
      </c>
      <c r="J36" s="11">
        <f t="shared" si="9"/>
        <v>58190.979166666664</v>
      </c>
      <c r="K36" s="11">
        <f t="shared" si="4"/>
        <v>523718.81249999994</v>
      </c>
      <c r="L36" s="11">
        <f t="shared" si="10"/>
        <v>193751.66666666666</v>
      </c>
      <c r="M36" s="11">
        <f t="shared" si="5"/>
        <v>329967.14583333326</v>
      </c>
      <c r="N36" s="14">
        <f t="shared" si="6"/>
        <v>3204.8020833333335</v>
      </c>
      <c r="O36" s="11">
        <f t="shared" si="11"/>
        <v>326762.34374999994</v>
      </c>
    </row>
    <row r="37" spans="1:15">
      <c r="A37" s="9">
        <v>36</v>
      </c>
      <c r="B37" s="10">
        <v>46746</v>
      </c>
      <c r="C37" s="11">
        <f t="shared" si="7"/>
        <v>139243.125</v>
      </c>
      <c r="D37" s="12">
        <f t="shared" si="14"/>
        <v>123333.33333333333</v>
      </c>
      <c r="E37" s="12">
        <f t="shared" si="8"/>
        <v>120833.33333333333</v>
      </c>
      <c r="F37" s="8">
        <f t="shared" si="1"/>
        <v>105000</v>
      </c>
      <c r="G37" s="11">
        <f t="shared" si="2"/>
        <v>488409.79166666663</v>
      </c>
      <c r="H37" s="12">
        <f>IF(A37 &gt;= 1, ((15.8 - 10) * 35000 / 12), 0) + IF(A37 &lt;= 36, (15.8 * 50000 / 12), 0) + IF(A37 &gt;= 6, ((15.8 - 11.5) * 30000 / 12), 0)</f>
        <v>93500</v>
      </c>
      <c r="I37" s="11">
        <f t="shared" si="12"/>
        <v>581909.79166666663</v>
      </c>
      <c r="J37" s="11">
        <f t="shared" si="9"/>
        <v>58190.979166666664</v>
      </c>
      <c r="K37" s="11">
        <f t="shared" si="4"/>
        <v>523718.81249999994</v>
      </c>
      <c r="L37" s="11">
        <f t="shared" si="10"/>
        <v>193751.66666666666</v>
      </c>
      <c r="M37" s="11">
        <f t="shared" si="5"/>
        <v>329967.14583333326</v>
      </c>
      <c r="N37" s="14">
        <f t="shared" si="6"/>
        <v>3204.8020833333335</v>
      </c>
      <c r="O37" s="11">
        <f t="shared" si="11"/>
        <v>326762.34374999994</v>
      </c>
    </row>
    <row r="38" spans="1:15">
      <c r="A38" s="9">
        <v>37</v>
      </c>
      <c r="B38" s="10">
        <v>46777</v>
      </c>
      <c r="C38" s="11">
        <f t="shared" si="7"/>
        <v>143420.41874999998</v>
      </c>
      <c r="D38" s="12">
        <f>(41 * 30000) / 12 + IF((265 * 30000) &gt; 9800000, ((265 * 30000) - 9800000) * 0.1 / 12, 0)</f>
        <v>102500</v>
      </c>
      <c r="E38" s="12">
        <v>0</v>
      </c>
      <c r="F38" s="8">
        <f t="shared" si="1"/>
        <v>105000</v>
      </c>
      <c r="G38" s="11">
        <f t="shared" si="2"/>
        <v>350920.41874999995</v>
      </c>
      <c r="H38" s="12">
        <f>IF(A38 &gt;= 1, ((15.8 - 10) * 35000 / 12), 0) + IF(A38 &lt;= 36, (15.8 * 50000 / 12), 0) + IF(A38 &gt;= 6, ((15.8 - 11.5) * 30000 / 12), 0)</f>
        <v>27666.666666666672</v>
      </c>
      <c r="I38" s="11">
        <f t="shared" si="12"/>
        <v>378587.08541666664</v>
      </c>
      <c r="J38" s="11">
        <f t="shared" si="9"/>
        <v>37858.708541666667</v>
      </c>
      <c r="K38" s="11">
        <f t="shared" si="4"/>
        <v>340728.37687499996</v>
      </c>
      <c r="L38" s="11">
        <f t="shared" si="10"/>
        <v>193751.66666666666</v>
      </c>
      <c r="M38" s="11">
        <f t="shared" si="5"/>
        <v>146976.7102083333</v>
      </c>
      <c r="N38" s="14">
        <f t="shared" si="6"/>
        <v>3300.9461458333335</v>
      </c>
      <c r="O38" s="11">
        <f t="shared" si="11"/>
        <v>143675.76406249998</v>
      </c>
    </row>
    <row r="39" spans="1:15">
      <c r="A39" s="9">
        <v>38</v>
      </c>
      <c r="B39" s="10">
        <v>46808</v>
      </c>
      <c r="C39" s="11">
        <f t="shared" si="7"/>
        <v>143420.41874999998</v>
      </c>
      <c r="D39" s="12">
        <f t="shared" ref="D39:D49" si="15">(41 * 30000) / 12 + IF((265 * 30000) &gt; 9800000, ((265 * 30000) - 9800000) * 0.1 / 12, 0)</f>
        <v>102500</v>
      </c>
      <c r="E39" s="12">
        <v>0</v>
      </c>
      <c r="F39" s="8">
        <f t="shared" si="1"/>
        <v>105000</v>
      </c>
      <c r="G39" s="11">
        <f t="shared" si="2"/>
        <v>350920.41874999995</v>
      </c>
      <c r="H39" s="12">
        <f t="shared" si="3"/>
        <v>27666.666666666672</v>
      </c>
      <c r="I39" s="11">
        <f t="shared" si="12"/>
        <v>378587.08541666664</v>
      </c>
      <c r="J39" s="11">
        <f t="shared" si="9"/>
        <v>37858.708541666667</v>
      </c>
      <c r="K39" s="11">
        <f t="shared" si="4"/>
        <v>340728.37687499996</v>
      </c>
      <c r="L39" s="11">
        <f t="shared" si="10"/>
        <v>193751.66666666666</v>
      </c>
      <c r="M39" s="11">
        <f t="shared" si="5"/>
        <v>146976.7102083333</v>
      </c>
      <c r="N39" s="14">
        <f t="shared" si="6"/>
        <v>3300.9461458333335</v>
      </c>
      <c r="O39" s="11">
        <f t="shared" si="11"/>
        <v>143675.76406249998</v>
      </c>
    </row>
    <row r="40" spans="1:15">
      <c r="A40" s="9">
        <v>39</v>
      </c>
      <c r="B40" s="10">
        <v>46837</v>
      </c>
      <c r="C40" s="11">
        <f t="shared" si="7"/>
        <v>143420.41874999998</v>
      </c>
      <c r="D40" s="12">
        <f t="shared" si="15"/>
        <v>102500</v>
      </c>
      <c r="E40" s="12">
        <v>0</v>
      </c>
      <c r="F40" s="8">
        <f t="shared" si="1"/>
        <v>105000</v>
      </c>
      <c r="G40" s="11">
        <f t="shared" si="2"/>
        <v>350920.41874999995</v>
      </c>
      <c r="H40" s="12">
        <f t="shared" si="3"/>
        <v>27666.666666666672</v>
      </c>
      <c r="I40" s="11">
        <f t="shared" si="12"/>
        <v>378587.08541666664</v>
      </c>
      <c r="J40" s="11">
        <f t="shared" si="9"/>
        <v>37858.708541666667</v>
      </c>
      <c r="K40" s="11">
        <f t="shared" si="4"/>
        <v>340728.37687499996</v>
      </c>
      <c r="L40" s="11">
        <f t="shared" si="10"/>
        <v>193751.66666666666</v>
      </c>
      <c r="M40" s="11">
        <f t="shared" si="5"/>
        <v>146976.7102083333</v>
      </c>
      <c r="N40" s="14">
        <f t="shared" si="6"/>
        <v>3300.9461458333335</v>
      </c>
      <c r="O40" s="11">
        <f t="shared" si="11"/>
        <v>143675.76406249998</v>
      </c>
    </row>
    <row r="41" spans="1:15">
      <c r="A41" s="9">
        <v>40</v>
      </c>
      <c r="B41" s="10">
        <v>46868</v>
      </c>
      <c r="C41" s="11">
        <f t="shared" si="7"/>
        <v>143420.41874999998</v>
      </c>
      <c r="D41" s="12">
        <f t="shared" si="15"/>
        <v>102500</v>
      </c>
      <c r="E41" s="12">
        <v>0</v>
      </c>
      <c r="F41" s="8">
        <f t="shared" si="1"/>
        <v>105000</v>
      </c>
      <c r="G41" s="11">
        <f t="shared" si="2"/>
        <v>350920.41874999995</v>
      </c>
      <c r="H41" s="12">
        <f t="shared" si="3"/>
        <v>27666.666666666672</v>
      </c>
      <c r="I41" s="11">
        <f t="shared" si="12"/>
        <v>378587.08541666664</v>
      </c>
      <c r="J41" s="11">
        <f t="shared" si="9"/>
        <v>37858.708541666667</v>
      </c>
      <c r="K41" s="11">
        <f t="shared" si="4"/>
        <v>340728.37687499996</v>
      </c>
      <c r="L41" s="11">
        <f t="shared" si="10"/>
        <v>193751.66666666666</v>
      </c>
      <c r="M41" s="11">
        <f t="shared" si="5"/>
        <v>146976.7102083333</v>
      </c>
      <c r="N41" s="14">
        <f t="shared" si="6"/>
        <v>3300.9461458333335</v>
      </c>
      <c r="O41" s="11">
        <f t="shared" si="11"/>
        <v>143675.76406249998</v>
      </c>
    </row>
    <row r="42" spans="1:15">
      <c r="A42" s="9">
        <v>41</v>
      </c>
      <c r="B42" s="10">
        <v>46898</v>
      </c>
      <c r="C42" s="11">
        <f t="shared" si="7"/>
        <v>143420.41874999998</v>
      </c>
      <c r="D42" s="12">
        <f t="shared" si="15"/>
        <v>102500</v>
      </c>
      <c r="E42" s="12">
        <v>0</v>
      </c>
      <c r="F42" s="8">
        <f>IF(A42 &gt;= 57, (50 * 30000) / 12, IF(A42 &gt;= 6, (42 * 30000) / 12, 0))</f>
        <v>105000</v>
      </c>
      <c r="G42" s="11">
        <f t="shared" si="2"/>
        <v>350920.41874999995</v>
      </c>
      <c r="H42" s="12">
        <f t="shared" si="3"/>
        <v>27666.666666666672</v>
      </c>
      <c r="I42" s="11">
        <f t="shared" si="12"/>
        <v>378587.08541666664</v>
      </c>
      <c r="J42" s="11">
        <f t="shared" si="9"/>
        <v>37858.708541666667</v>
      </c>
      <c r="K42" s="11">
        <f t="shared" si="4"/>
        <v>340728.37687499996</v>
      </c>
      <c r="L42" s="11">
        <f t="shared" si="10"/>
        <v>193751.66666666666</v>
      </c>
      <c r="M42" s="11">
        <f t="shared" si="5"/>
        <v>146976.7102083333</v>
      </c>
      <c r="N42" s="14">
        <f t="shared" si="6"/>
        <v>3300.9461458333335</v>
      </c>
      <c r="O42" s="11">
        <f t="shared" si="11"/>
        <v>143675.76406249998</v>
      </c>
    </row>
    <row r="43" spans="1:15">
      <c r="A43" s="9">
        <v>42</v>
      </c>
      <c r="B43" s="10">
        <v>46929</v>
      </c>
      <c r="C43" s="11">
        <f t="shared" si="7"/>
        <v>143420.41874999998</v>
      </c>
      <c r="D43" s="12">
        <f t="shared" si="15"/>
        <v>102500</v>
      </c>
      <c r="E43" s="12">
        <v>0</v>
      </c>
      <c r="F43" s="8">
        <f t="shared" si="1"/>
        <v>105000</v>
      </c>
      <c r="G43" s="11">
        <f t="shared" si="2"/>
        <v>350920.41874999995</v>
      </c>
      <c r="H43" s="12">
        <f t="shared" si="3"/>
        <v>27666.666666666672</v>
      </c>
      <c r="I43" s="11">
        <f t="shared" si="12"/>
        <v>378587.08541666664</v>
      </c>
      <c r="J43" s="11">
        <f t="shared" si="9"/>
        <v>37858.708541666667</v>
      </c>
      <c r="K43" s="11">
        <f t="shared" si="4"/>
        <v>340728.37687499996</v>
      </c>
      <c r="L43" s="11">
        <f t="shared" si="10"/>
        <v>193751.66666666666</v>
      </c>
      <c r="M43" s="11">
        <f t="shared" si="5"/>
        <v>146976.7102083333</v>
      </c>
      <c r="N43" s="14">
        <f t="shared" si="6"/>
        <v>3300.9461458333335</v>
      </c>
      <c r="O43" s="11">
        <f>(M43-N43)</f>
        <v>143675.76406249998</v>
      </c>
    </row>
    <row r="44" spans="1:15">
      <c r="A44" s="9">
        <v>43</v>
      </c>
      <c r="B44" s="10">
        <v>46959</v>
      </c>
      <c r="C44" s="11">
        <f t="shared" si="7"/>
        <v>143420.41874999998</v>
      </c>
      <c r="D44" s="12">
        <f t="shared" si="15"/>
        <v>102500</v>
      </c>
      <c r="E44" s="12">
        <f>(30*(1+0.03)^3)*50000/12</f>
        <v>136590.875</v>
      </c>
      <c r="F44" s="8">
        <f t="shared" si="1"/>
        <v>105000</v>
      </c>
      <c r="G44" s="11">
        <f t="shared" si="2"/>
        <v>487511.29374999995</v>
      </c>
      <c r="H44" s="12">
        <f t="shared" si="3"/>
        <v>27666.666666666672</v>
      </c>
      <c r="I44" s="11">
        <f t="shared" si="12"/>
        <v>515177.96041666664</v>
      </c>
      <c r="J44" s="11">
        <f t="shared" si="9"/>
        <v>51517.796041666668</v>
      </c>
      <c r="K44" s="11">
        <f t="shared" si="4"/>
        <v>463660.16437499999</v>
      </c>
      <c r="L44" s="11">
        <f t="shared" si="10"/>
        <v>193751.66666666666</v>
      </c>
      <c r="M44" s="11">
        <f t="shared" si="5"/>
        <v>269908.49770833331</v>
      </c>
      <c r="N44" s="14">
        <f t="shared" si="6"/>
        <v>3300.9461458333335</v>
      </c>
      <c r="O44" s="11">
        <f t="shared" si="11"/>
        <v>266607.55156249995</v>
      </c>
    </row>
    <row r="45" spans="1:15">
      <c r="A45" s="9">
        <v>44</v>
      </c>
      <c r="B45" s="10">
        <v>46990</v>
      </c>
      <c r="C45" s="11">
        <f t="shared" si="7"/>
        <v>143420.41874999998</v>
      </c>
      <c r="D45" s="12">
        <f t="shared" si="15"/>
        <v>102500</v>
      </c>
      <c r="E45" s="12">
        <f>(30*(1+0.03)^3)*50000/12</f>
        <v>136590.875</v>
      </c>
      <c r="F45" s="8">
        <f t="shared" si="1"/>
        <v>105000</v>
      </c>
      <c r="G45" s="11">
        <f t="shared" si="2"/>
        <v>487511.29374999995</v>
      </c>
      <c r="H45" s="12">
        <f t="shared" si="3"/>
        <v>27666.666666666672</v>
      </c>
      <c r="I45" s="11">
        <f t="shared" si="12"/>
        <v>515177.96041666664</v>
      </c>
      <c r="J45" s="11">
        <f t="shared" si="9"/>
        <v>51517.796041666668</v>
      </c>
      <c r="K45" s="11">
        <f t="shared" si="4"/>
        <v>463660.16437499999</v>
      </c>
      <c r="L45" s="11">
        <f t="shared" si="10"/>
        <v>193751.66666666666</v>
      </c>
      <c r="M45" s="11">
        <f t="shared" si="5"/>
        <v>269908.49770833331</v>
      </c>
      <c r="N45" s="14">
        <f t="shared" si="6"/>
        <v>3300.9461458333335</v>
      </c>
      <c r="O45" s="11">
        <f t="shared" si="11"/>
        <v>266607.55156249995</v>
      </c>
    </row>
    <row r="46" spans="1:15">
      <c r="A46" s="9">
        <v>45</v>
      </c>
      <c r="B46" s="10">
        <v>47021</v>
      </c>
      <c r="C46" s="11">
        <f t="shared" si="7"/>
        <v>143420.41874999998</v>
      </c>
      <c r="D46" s="12">
        <f t="shared" si="15"/>
        <v>102500</v>
      </c>
      <c r="E46" s="12">
        <f t="shared" ref="E45:E61" si="16">(30*(1+0.03)^3)*50000/12</f>
        <v>136590.875</v>
      </c>
      <c r="F46" s="8">
        <f t="shared" si="1"/>
        <v>105000</v>
      </c>
      <c r="G46" s="11">
        <f t="shared" si="2"/>
        <v>487511.29374999995</v>
      </c>
      <c r="H46" s="12">
        <f t="shared" si="3"/>
        <v>27666.666666666672</v>
      </c>
      <c r="I46" s="11">
        <f t="shared" si="12"/>
        <v>515177.96041666664</v>
      </c>
      <c r="J46" s="11">
        <f t="shared" si="9"/>
        <v>51517.796041666668</v>
      </c>
      <c r="K46" s="11">
        <f t="shared" si="4"/>
        <v>463660.16437499999</v>
      </c>
      <c r="L46" s="11">
        <f t="shared" si="10"/>
        <v>193751.66666666666</v>
      </c>
      <c r="M46" s="11">
        <f t="shared" si="5"/>
        <v>269908.49770833331</v>
      </c>
      <c r="N46" s="14">
        <f t="shared" si="6"/>
        <v>3300.9461458333335</v>
      </c>
      <c r="O46" s="11">
        <f t="shared" si="11"/>
        <v>266607.55156249995</v>
      </c>
    </row>
    <row r="47" spans="1:15">
      <c r="A47" s="9">
        <v>46</v>
      </c>
      <c r="B47" s="10">
        <v>47051</v>
      </c>
      <c r="C47" s="11">
        <f t="shared" si="7"/>
        <v>143420.41874999998</v>
      </c>
      <c r="D47" s="12">
        <f>(41 * 30000) / 12 + IF((265 * 30000) &gt; 9800000, ((265 * 30000) - 9800000) * 0.1 / 12, 0)</f>
        <v>102500</v>
      </c>
      <c r="E47" s="12">
        <f t="shared" si="16"/>
        <v>136590.875</v>
      </c>
      <c r="F47" s="8">
        <f t="shared" si="1"/>
        <v>105000</v>
      </c>
      <c r="G47" s="11">
        <f t="shared" si="2"/>
        <v>487511.29374999995</v>
      </c>
      <c r="H47" s="12">
        <f t="shared" si="3"/>
        <v>27666.666666666672</v>
      </c>
      <c r="I47" s="11">
        <f t="shared" si="12"/>
        <v>515177.96041666664</v>
      </c>
      <c r="J47" s="11">
        <f t="shared" si="9"/>
        <v>51517.796041666668</v>
      </c>
      <c r="K47" s="11">
        <f t="shared" si="4"/>
        <v>463660.16437499999</v>
      </c>
      <c r="L47" s="11">
        <f t="shared" si="10"/>
        <v>193751.66666666666</v>
      </c>
      <c r="M47" s="11">
        <f t="shared" si="5"/>
        <v>269908.49770833331</v>
      </c>
      <c r="N47" s="14">
        <f t="shared" si="6"/>
        <v>3300.9461458333335</v>
      </c>
      <c r="O47" s="11">
        <f t="shared" si="11"/>
        <v>266607.55156249995</v>
      </c>
    </row>
    <row r="48" spans="1:15">
      <c r="A48" s="9">
        <v>47</v>
      </c>
      <c r="B48" s="10">
        <v>47082</v>
      </c>
      <c r="C48" s="11">
        <f t="shared" si="7"/>
        <v>143420.41874999998</v>
      </c>
      <c r="D48" s="12">
        <f t="shared" si="15"/>
        <v>102500</v>
      </c>
      <c r="E48" s="12">
        <f t="shared" si="16"/>
        <v>136590.875</v>
      </c>
      <c r="F48" s="8">
        <f t="shared" si="1"/>
        <v>105000</v>
      </c>
      <c r="G48" s="11">
        <f t="shared" si="2"/>
        <v>487511.29374999995</v>
      </c>
      <c r="H48" s="12">
        <f t="shared" si="3"/>
        <v>27666.666666666672</v>
      </c>
      <c r="I48" s="11">
        <f t="shared" si="12"/>
        <v>515177.96041666664</v>
      </c>
      <c r="J48" s="11">
        <f t="shared" si="9"/>
        <v>51517.796041666668</v>
      </c>
      <c r="K48" s="11">
        <f t="shared" si="4"/>
        <v>463660.16437499999</v>
      </c>
      <c r="L48" s="11">
        <f t="shared" si="10"/>
        <v>193751.66666666666</v>
      </c>
      <c r="M48" s="11">
        <f t="shared" si="5"/>
        <v>269908.49770833331</v>
      </c>
      <c r="N48" s="14">
        <f t="shared" si="6"/>
        <v>3300.9461458333335</v>
      </c>
      <c r="O48" s="11">
        <f t="shared" si="11"/>
        <v>266607.55156249995</v>
      </c>
    </row>
    <row r="49" spans="1:15">
      <c r="A49" s="9">
        <v>48</v>
      </c>
      <c r="B49" s="10">
        <v>47112</v>
      </c>
      <c r="C49" s="11">
        <f t="shared" si="7"/>
        <v>143420.41874999998</v>
      </c>
      <c r="D49" s="12">
        <f t="shared" si="15"/>
        <v>102500</v>
      </c>
      <c r="E49" s="12">
        <f t="shared" si="16"/>
        <v>136590.875</v>
      </c>
      <c r="F49" s="8">
        <f t="shared" si="1"/>
        <v>105000</v>
      </c>
      <c r="G49" s="11">
        <f t="shared" si="2"/>
        <v>487511.29374999995</v>
      </c>
      <c r="H49" s="12">
        <f t="shared" si="3"/>
        <v>27666.666666666672</v>
      </c>
      <c r="I49" s="11">
        <f t="shared" si="12"/>
        <v>515177.96041666664</v>
      </c>
      <c r="J49" s="11">
        <f t="shared" si="9"/>
        <v>51517.796041666668</v>
      </c>
      <c r="K49" s="11">
        <f t="shared" si="4"/>
        <v>463660.16437499999</v>
      </c>
      <c r="L49" s="11">
        <f t="shared" si="10"/>
        <v>193751.66666666666</v>
      </c>
      <c r="M49" s="11">
        <f t="shared" si="5"/>
        <v>269908.49770833331</v>
      </c>
      <c r="N49" s="14">
        <f t="shared" si="6"/>
        <v>3300.9461458333335</v>
      </c>
      <c r="O49" s="11">
        <f t="shared" si="11"/>
        <v>266607.55156249995</v>
      </c>
    </row>
    <row r="50" spans="1:15" ht="17.100000000000001">
      <c r="A50" s="9">
        <v>49</v>
      </c>
      <c r="B50" s="10">
        <v>47143</v>
      </c>
      <c r="C50" s="11">
        <f t="shared" si="7"/>
        <v>147723.03131249998</v>
      </c>
      <c r="D50" s="15">
        <f>(41 * 30000) / 12 + IF((500 * 30000) &gt; 9800000, ((500 * 30000) - 9800000) * 0.1 / 12, 0)</f>
        <v>145833.33333333334</v>
      </c>
      <c r="E50" s="12">
        <f t="shared" si="16"/>
        <v>136590.875</v>
      </c>
      <c r="F50" s="8">
        <f t="shared" si="1"/>
        <v>105000</v>
      </c>
      <c r="G50" s="11">
        <f t="shared" si="2"/>
        <v>535147.23964583338</v>
      </c>
      <c r="H50" s="12">
        <f t="shared" si="3"/>
        <v>27666.666666666672</v>
      </c>
      <c r="I50" s="11">
        <f t="shared" si="12"/>
        <v>562813.90631250001</v>
      </c>
      <c r="J50" s="11">
        <f>(I50*0.1)</f>
        <v>56281.390631250004</v>
      </c>
      <c r="K50" s="11">
        <f t="shared" si="4"/>
        <v>506532.51568125002</v>
      </c>
      <c r="L50" s="11">
        <f t="shared" si="10"/>
        <v>193751.66666666666</v>
      </c>
      <c r="M50" s="11">
        <f t="shared" si="5"/>
        <v>312780.84901458339</v>
      </c>
      <c r="N50" s="14">
        <f t="shared" si="6"/>
        <v>3399.9745302083334</v>
      </c>
      <c r="O50" s="11">
        <f t="shared" si="11"/>
        <v>309380.87448437506</v>
      </c>
    </row>
    <row r="51" spans="1:15" ht="17.100000000000001">
      <c r="A51" s="9">
        <v>50</v>
      </c>
      <c r="B51" s="10">
        <v>47174</v>
      </c>
      <c r="C51" s="11">
        <f t="shared" si="7"/>
        <v>147723.03131249998</v>
      </c>
      <c r="D51" s="15">
        <f t="shared" ref="D51:D61" si="17">(41 * 30000) / 12 + IF((500 * 30000) &gt; 9800000, ((500 * 30000) - 9800000) * 0.1 / 12, 0)</f>
        <v>145833.33333333334</v>
      </c>
      <c r="E51" s="12">
        <f t="shared" si="16"/>
        <v>136590.875</v>
      </c>
      <c r="F51" s="8">
        <f t="shared" si="1"/>
        <v>105000</v>
      </c>
      <c r="G51" s="11">
        <f t="shared" si="2"/>
        <v>535147.23964583338</v>
      </c>
      <c r="H51" s="12">
        <f t="shared" si="3"/>
        <v>27666.666666666672</v>
      </c>
      <c r="I51" s="11">
        <f t="shared" si="12"/>
        <v>562813.90631250001</v>
      </c>
      <c r="J51" s="11">
        <f t="shared" si="9"/>
        <v>56281.390631250004</v>
      </c>
      <c r="K51" s="11">
        <f t="shared" si="4"/>
        <v>506532.51568125002</v>
      </c>
      <c r="L51" s="11">
        <f t="shared" si="10"/>
        <v>193751.66666666666</v>
      </c>
      <c r="M51" s="11">
        <f t="shared" si="5"/>
        <v>312780.84901458339</v>
      </c>
      <c r="N51" s="14">
        <f t="shared" si="6"/>
        <v>3399.9745302083334</v>
      </c>
      <c r="O51" s="11">
        <f t="shared" si="11"/>
        <v>309380.87448437506</v>
      </c>
    </row>
    <row r="52" spans="1:15" ht="17.100000000000001">
      <c r="A52" s="9">
        <v>51</v>
      </c>
      <c r="B52" s="10">
        <v>47202</v>
      </c>
      <c r="C52" s="11">
        <f t="shared" si="7"/>
        <v>147723.03131249998</v>
      </c>
      <c r="D52" s="15">
        <f t="shared" si="17"/>
        <v>145833.33333333334</v>
      </c>
      <c r="E52" s="12">
        <f t="shared" si="16"/>
        <v>136590.875</v>
      </c>
      <c r="F52" s="8">
        <f t="shared" si="1"/>
        <v>105000</v>
      </c>
      <c r="G52" s="11">
        <f t="shared" si="2"/>
        <v>535147.23964583338</v>
      </c>
      <c r="H52" s="12">
        <f>IF(A52 &gt;= 1, ((15.8 - 10) * 35000 / 12), 0) + IF(A52 &lt;= 36, (15.8 * 50000 / 12), 0) + IF(A52 &gt;= 6, ((15.8 - 11.5) * 30000 / 12), 0)</f>
        <v>27666.666666666672</v>
      </c>
      <c r="I52" s="11">
        <f t="shared" si="12"/>
        <v>562813.90631250001</v>
      </c>
      <c r="J52" s="11">
        <f t="shared" si="9"/>
        <v>56281.390631250004</v>
      </c>
      <c r="K52" s="11">
        <f t="shared" si="4"/>
        <v>506532.51568125002</v>
      </c>
      <c r="L52" s="11">
        <f t="shared" si="10"/>
        <v>193751.66666666666</v>
      </c>
      <c r="M52" s="11">
        <f t="shared" si="5"/>
        <v>312780.84901458339</v>
      </c>
      <c r="N52" s="14">
        <f t="shared" si="6"/>
        <v>3399.9745302083334</v>
      </c>
      <c r="O52" s="11">
        <f t="shared" si="11"/>
        <v>309380.87448437506</v>
      </c>
    </row>
    <row r="53" spans="1:15" ht="17.100000000000001">
      <c r="A53" s="9">
        <v>52</v>
      </c>
      <c r="B53" s="10">
        <v>47233</v>
      </c>
      <c r="C53" s="11">
        <f t="shared" si="7"/>
        <v>147723.03131249998</v>
      </c>
      <c r="D53" s="15">
        <f t="shared" si="17"/>
        <v>145833.33333333334</v>
      </c>
      <c r="E53" s="12">
        <f t="shared" si="16"/>
        <v>136590.875</v>
      </c>
      <c r="F53" s="8">
        <f t="shared" si="1"/>
        <v>105000</v>
      </c>
      <c r="G53" s="11">
        <f t="shared" si="2"/>
        <v>535147.23964583338</v>
      </c>
      <c r="H53" s="12">
        <f t="shared" si="3"/>
        <v>27666.666666666672</v>
      </c>
      <c r="I53" s="11">
        <f t="shared" si="12"/>
        <v>562813.90631250001</v>
      </c>
      <c r="J53" s="11">
        <f t="shared" si="9"/>
        <v>56281.390631250004</v>
      </c>
      <c r="K53" s="11">
        <f>I53-J53</f>
        <v>506532.51568125002</v>
      </c>
      <c r="L53" s="11">
        <f t="shared" si="10"/>
        <v>193751.66666666666</v>
      </c>
      <c r="M53" s="11">
        <f t="shared" si="5"/>
        <v>312780.84901458339</v>
      </c>
      <c r="N53" s="14">
        <f t="shared" si="6"/>
        <v>3399.9745302083334</v>
      </c>
      <c r="O53" s="11">
        <f t="shared" si="11"/>
        <v>309380.87448437506</v>
      </c>
    </row>
    <row r="54" spans="1:15" ht="17.100000000000001">
      <c r="A54" s="9">
        <v>53</v>
      </c>
      <c r="B54" s="10">
        <v>47263</v>
      </c>
      <c r="C54" s="11">
        <f t="shared" si="7"/>
        <v>147723.03131249998</v>
      </c>
      <c r="D54" s="15">
        <f>(41 * 30000) / 12 + IF((500 * 30000) &gt; 9800000, ((500 * 30000) - 9800000) * 0.1 / 12, 0)</f>
        <v>145833.33333333334</v>
      </c>
      <c r="E54" s="12">
        <f t="shared" si="16"/>
        <v>136590.875</v>
      </c>
      <c r="F54" s="8">
        <f t="shared" si="1"/>
        <v>105000</v>
      </c>
      <c r="G54" s="11">
        <f t="shared" si="2"/>
        <v>535147.23964583338</v>
      </c>
      <c r="H54" s="12">
        <f t="shared" si="3"/>
        <v>27666.666666666672</v>
      </c>
      <c r="I54" s="11">
        <f t="shared" si="12"/>
        <v>562813.90631250001</v>
      </c>
      <c r="J54" s="11">
        <f t="shared" si="9"/>
        <v>56281.390631250004</v>
      </c>
      <c r="K54" s="11">
        <f t="shared" si="4"/>
        <v>506532.51568125002</v>
      </c>
      <c r="L54" s="11">
        <f>(15.8*145000/12)+(0.03*(F54-(0.1*F54)))</f>
        <v>193751.66666666666</v>
      </c>
      <c r="M54" s="11">
        <f t="shared" si="5"/>
        <v>312780.84901458339</v>
      </c>
      <c r="N54" s="14">
        <f t="shared" si="6"/>
        <v>3399.9745302083334</v>
      </c>
      <c r="O54" s="11">
        <f t="shared" si="11"/>
        <v>309380.87448437506</v>
      </c>
    </row>
    <row r="55" spans="1:15" ht="17.100000000000001">
      <c r="A55" s="9">
        <v>54</v>
      </c>
      <c r="B55" s="10">
        <v>47294</v>
      </c>
      <c r="C55" s="11">
        <f t="shared" si="7"/>
        <v>147723.03131249998</v>
      </c>
      <c r="D55" s="15">
        <f t="shared" si="17"/>
        <v>145833.33333333334</v>
      </c>
      <c r="E55" s="12">
        <f t="shared" si="16"/>
        <v>136590.875</v>
      </c>
      <c r="F55" s="8">
        <f t="shared" si="1"/>
        <v>105000</v>
      </c>
      <c r="G55" s="11">
        <f t="shared" si="2"/>
        <v>535147.23964583338</v>
      </c>
      <c r="H55" s="12">
        <f t="shared" si="3"/>
        <v>27666.666666666672</v>
      </c>
      <c r="I55" s="11">
        <f t="shared" si="12"/>
        <v>562813.90631250001</v>
      </c>
      <c r="J55" s="11">
        <f>(I55*0.1)</f>
        <v>56281.390631250004</v>
      </c>
      <c r="K55" s="11">
        <f t="shared" si="4"/>
        <v>506532.51568125002</v>
      </c>
      <c r="L55" s="11">
        <f t="shared" si="10"/>
        <v>193751.66666666666</v>
      </c>
      <c r="M55" s="11">
        <f t="shared" si="5"/>
        <v>312780.84901458339</v>
      </c>
      <c r="N55" s="14">
        <f t="shared" si="6"/>
        <v>3399.9745302083334</v>
      </c>
      <c r="O55" s="11">
        <f t="shared" si="11"/>
        <v>309380.87448437506</v>
      </c>
    </row>
    <row r="56" spans="1:15" ht="17.100000000000001">
      <c r="A56" s="9">
        <v>55</v>
      </c>
      <c r="B56" s="10">
        <v>47324</v>
      </c>
      <c r="C56" s="11">
        <f t="shared" si="7"/>
        <v>147723.03131249998</v>
      </c>
      <c r="D56" s="15">
        <f>(41 * 30000) / 12 + IF((500 * 30000) &gt; 9800000, ((500 * 30000) - 9800000) * 0.1 / 12, 0)</f>
        <v>145833.33333333334</v>
      </c>
      <c r="E56" s="12">
        <f t="shared" si="16"/>
        <v>136590.875</v>
      </c>
      <c r="F56" s="8">
        <f t="shared" si="1"/>
        <v>105000</v>
      </c>
      <c r="G56" s="11">
        <f t="shared" si="2"/>
        <v>535147.23964583338</v>
      </c>
      <c r="H56" s="12">
        <f t="shared" si="3"/>
        <v>27666.666666666672</v>
      </c>
      <c r="I56" s="11">
        <f t="shared" si="12"/>
        <v>562813.90631250001</v>
      </c>
      <c r="J56" s="11">
        <f t="shared" si="9"/>
        <v>56281.390631250004</v>
      </c>
      <c r="K56" s="11">
        <f t="shared" si="4"/>
        <v>506532.51568125002</v>
      </c>
      <c r="L56" s="11">
        <f t="shared" si="10"/>
        <v>193751.66666666666</v>
      </c>
      <c r="M56" s="11">
        <f t="shared" si="5"/>
        <v>312780.84901458339</v>
      </c>
      <c r="N56" s="14">
        <f t="shared" si="6"/>
        <v>3399.9745302083334</v>
      </c>
      <c r="O56" s="11">
        <f t="shared" si="11"/>
        <v>309380.87448437506</v>
      </c>
    </row>
    <row r="57" spans="1:15" ht="17.100000000000001">
      <c r="A57" s="9">
        <v>56</v>
      </c>
      <c r="B57" s="10">
        <v>47355</v>
      </c>
      <c r="C57" s="11">
        <f t="shared" si="7"/>
        <v>147723.03131249998</v>
      </c>
      <c r="D57" s="15">
        <f>(41 * 30000) / 12 + IF((500 * 30000) &gt; 9800000, ((500 * 30000) - 9800000) * 0.1 / 12, 0)</f>
        <v>145833.33333333334</v>
      </c>
      <c r="E57" s="12">
        <f t="shared" si="16"/>
        <v>136590.875</v>
      </c>
      <c r="F57" s="8">
        <f t="shared" si="1"/>
        <v>105000</v>
      </c>
      <c r="G57" s="11">
        <f t="shared" si="2"/>
        <v>535147.23964583338</v>
      </c>
      <c r="H57" s="12">
        <f t="shared" si="3"/>
        <v>27666.666666666672</v>
      </c>
      <c r="I57" s="11">
        <f t="shared" si="12"/>
        <v>562813.90631250001</v>
      </c>
      <c r="J57" s="11">
        <f t="shared" si="9"/>
        <v>56281.390631250004</v>
      </c>
      <c r="K57" s="11">
        <f t="shared" si="4"/>
        <v>506532.51568125002</v>
      </c>
      <c r="L57" s="11">
        <f t="shared" si="10"/>
        <v>193751.66666666666</v>
      </c>
      <c r="M57" s="11">
        <f t="shared" si="5"/>
        <v>312780.84901458339</v>
      </c>
      <c r="N57" s="14">
        <f t="shared" si="6"/>
        <v>3399.9745302083334</v>
      </c>
      <c r="O57" s="11">
        <f t="shared" si="11"/>
        <v>309380.87448437506</v>
      </c>
    </row>
    <row r="58" spans="1:15" ht="17.100000000000001">
      <c r="A58" s="9">
        <v>57</v>
      </c>
      <c r="B58" s="10">
        <v>47386</v>
      </c>
      <c r="C58" s="11">
        <f t="shared" si="7"/>
        <v>147723.03131249998</v>
      </c>
      <c r="D58" s="15">
        <f t="shared" si="17"/>
        <v>145833.33333333334</v>
      </c>
      <c r="E58" s="12">
        <f t="shared" si="16"/>
        <v>136590.875</v>
      </c>
      <c r="F58" s="8">
        <f t="shared" si="1"/>
        <v>125000</v>
      </c>
      <c r="G58" s="11">
        <f t="shared" si="2"/>
        <v>555147.23964583338</v>
      </c>
      <c r="H58" s="12">
        <f t="shared" si="3"/>
        <v>27666.666666666672</v>
      </c>
      <c r="I58" s="11">
        <f t="shared" si="12"/>
        <v>582813.90631250001</v>
      </c>
      <c r="J58" s="11">
        <f t="shared" si="9"/>
        <v>58281.390631250004</v>
      </c>
      <c r="K58" s="11">
        <f t="shared" si="4"/>
        <v>524532.51568125002</v>
      </c>
      <c r="L58" s="11">
        <f t="shared" si="10"/>
        <v>194291.66666666666</v>
      </c>
      <c r="M58" s="11">
        <f t="shared" si="5"/>
        <v>330240.84901458339</v>
      </c>
      <c r="N58" s="14">
        <f t="shared" si="6"/>
        <v>3399.9745302083334</v>
      </c>
      <c r="O58" s="11">
        <f t="shared" si="11"/>
        <v>326840.87448437506</v>
      </c>
    </row>
    <row r="59" spans="1:15" ht="17.100000000000001">
      <c r="A59" s="9">
        <v>58</v>
      </c>
      <c r="B59" s="10">
        <v>47416</v>
      </c>
      <c r="C59" s="11">
        <f t="shared" si="7"/>
        <v>147723.03131249998</v>
      </c>
      <c r="D59" s="15">
        <f>(41 * 30000) / 12 + IF((500 * 30000) &gt; 9800000, ((500 * 30000) - 9800000) * 0.1 / 12, 0)</f>
        <v>145833.33333333334</v>
      </c>
      <c r="E59" s="12">
        <f t="shared" si="16"/>
        <v>136590.875</v>
      </c>
      <c r="F59" s="8">
        <f t="shared" si="1"/>
        <v>125000</v>
      </c>
      <c r="G59" s="11">
        <f t="shared" si="2"/>
        <v>555147.23964583338</v>
      </c>
      <c r="H59" s="12">
        <f t="shared" si="3"/>
        <v>27666.666666666672</v>
      </c>
      <c r="I59" s="11">
        <f t="shared" si="12"/>
        <v>582813.90631250001</v>
      </c>
      <c r="J59" s="11">
        <f t="shared" si="9"/>
        <v>58281.390631250004</v>
      </c>
      <c r="K59" s="11">
        <f t="shared" si="4"/>
        <v>524532.51568125002</v>
      </c>
      <c r="L59" s="11">
        <f t="shared" si="10"/>
        <v>194291.66666666666</v>
      </c>
      <c r="M59" s="11">
        <f t="shared" si="5"/>
        <v>330240.84901458339</v>
      </c>
      <c r="N59" s="14">
        <f t="shared" si="6"/>
        <v>3399.9745302083334</v>
      </c>
      <c r="O59" s="11">
        <f>(M59-N59)</f>
        <v>326840.87448437506</v>
      </c>
    </row>
    <row r="60" spans="1:15" ht="17.100000000000001">
      <c r="A60" s="9">
        <v>59</v>
      </c>
      <c r="B60" s="10">
        <v>47447</v>
      </c>
      <c r="C60" s="11">
        <f t="shared" si="7"/>
        <v>147723.03131249998</v>
      </c>
      <c r="D60" s="15">
        <f t="shared" si="17"/>
        <v>145833.33333333334</v>
      </c>
      <c r="E60" s="12">
        <f t="shared" si="16"/>
        <v>136590.875</v>
      </c>
      <c r="F60" s="8">
        <f t="shared" si="1"/>
        <v>125000</v>
      </c>
      <c r="G60" s="11">
        <f t="shared" si="2"/>
        <v>555147.23964583338</v>
      </c>
      <c r="H60" s="12">
        <f t="shared" si="3"/>
        <v>27666.666666666672</v>
      </c>
      <c r="I60" s="11">
        <f t="shared" si="12"/>
        <v>582813.90631250001</v>
      </c>
      <c r="J60" s="11">
        <f t="shared" si="9"/>
        <v>58281.390631250004</v>
      </c>
      <c r="K60" s="11">
        <f t="shared" si="4"/>
        <v>524532.51568125002</v>
      </c>
      <c r="L60" s="11">
        <f t="shared" si="10"/>
        <v>194291.66666666666</v>
      </c>
      <c r="M60" s="11">
        <f t="shared" si="5"/>
        <v>330240.84901458339</v>
      </c>
      <c r="N60" s="14">
        <f t="shared" si="6"/>
        <v>3399.9745302083334</v>
      </c>
      <c r="O60" s="11">
        <f t="shared" si="11"/>
        <v>326840.87448437506</v>
      </c>
    </row>
    <row r="61" spans="1:15" ht="17.100000000000001">
      <c r="A61" s="9">
        <v>60</v>
      </c>
      <c r="B61" s="10">
        <v>47477</v>
      </c>
      <c r="C61" s="11">
        <f>(45*35000*(1+0.03)^(INT((A61-1)/12)))/12</f>
        <v>147723.03131249998</v>
      </c>
      <c r="D61" s="15">
        <f t="shared" si="17"/>
        <v>145833.33333333334</v>
      </c>
      <c r="E61" s="12">
        <f t="shared" si="16"/>
        <v>136590.875</v>
      </c>
      <c r="F61" s="8">
        <f t="shared" si="1"/>
        <v>125000</v>
      </c>
      <c r="G61" s="11">
        <f>SUM(C61:F61)</f>
        <v>555147.23964583338</v>
      </c>
      <c r="H61" s="12">
        <f>IF(A61 &gt;= 1, ((15.8 - 10) * 35000 / 12), 0) + IF(A61 &lt;= 36, (15.8 * 50000 / 12), 0) + IF(A61 &gt;= 6, ((15.8 - 11.5) * 30000 / 12), 0)</f>
        <v>27666.666666666672</v>
      </c>
      <c r="I61" s="11">
        <f t="shared" si="12"/>
        <v>582813.90631250001</v>
      </c>
      <c r="J61" s="11">
        <f t="shared" si="9"/>
        <v>58281.390631250004</v>
      </c>
      <c r="K61" s="11">
        <f t="shared" si="4"/>
        <v>524532.51568125002</v>
      </c>
      <c r="L61" s="11">
        <f t="shared" si="10"/>
        <v>194291.66666666666</v>
      </c>
      <c r="M61" s="11">
        <f t="shared" si="5"/>
        <v>330240.84901458339</v>
      </c>
      <c r="N61" s="14">
        <f t="shared" si="6"/>
        <v>3399.9745302083334</v>
      </c>
      <c r="O61" s="11">
        <f>(M61-N61)</f>
        <v>326840.87448437506</v>
      </c>
    </row>
    <row r="62" spans="1:15">
      <c r="A62" s="9">
        <v>61</v>
      </c>
      <c r="B62" s="10">
        <v>47508</v>
      </c>
      <c r="C62" s="8">
        <f>(45 * 35000 * (1 + 0.03)^INT((A62-1)/12)) / 12</f>
        <v>152154.72225187498</v>
      </c>
      <c r="D62" s="17">
        <f>IF(A62 &gt;= 61, ((550 * 30000 - 9800000) * 0.1) / 12, 0)</f>
        <v>55833.333333333336</v>
      </c>
      <c r="E62" s="8">
        <f>(30*50000*(1+0.03)^((A62-43)/12))/12</f>
        <v>130666.97890056233</v>
      </c>
      <c r="F62" s="8">
        <f t="shared" si="1"/>
        <v>125000</v>
      </c>
      <c r="G62" s="11">
        <f t="shared" ref="G62:G73" si="18">SUM(C62:F62)</f>
        <v>463655.03448577062</v>
      </c>
      <c r="H62" s="12">
        <f t="shared" si="3"/>
        <v>27666.666666666672</v>
      </c>
      <c r="I62" s="11">
        <f t="shared" si="12"/>
        <v>491321.70115243731</v>
      </c>
      <c r="J62" s="11">
        <f t="shared" si="9"/>
        <v>49132.170115243731</v>
      </c>
      <c r="K62" s="11">
        <f t="shared" si="4"/>
        <v>442189.53103719361</v>
      </c>
      <c r="L62" s="11">
        <f t="shared" si="10"/>
        <v>194291.66666666666</v>
      </c>
      <c r="M62" s="11">
        <f t="shared" si="5"/>
        <v>247897.86437052695</v>
      </c>
      <c r="N62" s="14">
        <f t="shared" si="6"/>
        <v>3501.9737661145832</v>
      </c>
      <c r="O62" s="11">
        <f t="shared" ref="O62:O73" si="19">(M62-N62)</f>
        <v>244395.89060441236</v>
      </c>
    </row>
    <row r="63" spans="1:15">
      <c r="A63" s="9">
        <v>62</v>
      </c>
      <c r="B63" s="10">
        <v>47539</v>
      </c>
      <c r="C63" s="8">
        <f>(45 * 35000 * (1 + 0.03)^INT((A62-1)/12)) / 12</f>
        <v>152154.72225187498</v>
      </c>
      <c r="D63" s="17">
        <f t="shared" ref="D63:D73" si="20">IF(A63 &gt;= 61, ((550 * 30000 - 9800000) * 0.1) / 12, 0)</f>
        <v>55833.333333333336</v>
      </c>
      <c r="E63" s="8">
        <f t="shared" ref="E63:E73" si="21">(30*50000*(1+0.03)^((A63-43)/12))/12</f>
        <v>130989.23892086303</v>
      </c>
      <c r="F63" s="8">
        <f t="shared" si="1"/>
        <v>125000</v>
      </c>
      <c r="G63" s="11">
        <f t="shared" si="18"/>
        <v>463977.29450607137</v>
      </c>
      <c r="H63" s="12">
        <f t="shared" si="3"/>
        <v>27666.666666666672</v>
      </c>
      <c r="I63" s="11">
        <f t="shared" si="12"/>
        <v>491643.96117273805</v>
      </c>
      <c r="J63" s="11">
        <f t="shared" si="9"/>
        <v>49164.396117273805</v>
      </c>
      <c r="K63" s="11">
        <f t="shared" si="4"/>
        <v>442479.56505546428</v>
      </c>
      <c r="L63" s="11">
        <f t="shared" si="10"/>
        <v>194291.66666666666</v>
      </c>
      <c r="M63" s="11">
        <f t="shared" si="5"/>
        <v>248187.89838879762</v>
      </c>
      <c r="N63" s="14">
        <f t="shared" si="6"/>
        <v>3501.9737661145832</v>
      </c>
      <c r="O63" s="11">
        <f t="shared" si="19"/>
        <v>244685.92462268303</v>
      </c>
    </row>
    <row r="64" spans="1:15">
      <c r="A64" s="9">
        <v>63</v>
      </c>
      <c r="B64" s="10">
        <v>47567</v>
      </c>
      <c r="C64" s="8">
        <f t="shared" ref="C63:C73" si="22">(45 * 35000 * (1 + 0.03)^INT((A63-1)/12)) / 12</f>
        <v>152154.72225187498</v>
      </c>
      <c r="D64" s="17">
        <f t="shared" si="20"/>
        <v>55833.333333333336</v>
      </c>
      <c r="E64" s="8">
        <f t="shared" si="21"/>
        <v>131312.29372131059</v>
      </c>
      <c r="F64" s="8">
        <f t="shared" si="1"/>
        <v>125000</v>
      </c>
      <c r="G64" s="11">
        <f t="shared" si="18"/>
        <v>464300.34930651891</v>
      </c>
      <c r="H64" s="12">
        <f t="shared" si="3"/>
        <v>27666.666666666672</v>
      </c>
      <c r="I64" s="11">
        <f t="shared" si="12"/>
        <v>491967.0159731856</v>
      </c>
      <c r="J64" s="11">
        <f t="shared" si="9"/>
        <v>49196.701597318563</v>
      </c>
      <c r="K64" s="11">
        <f t="shared" si="4"/>
        <v>442770.31437586702</v>
      </c>
      <c r="L64" s="11">
        <f t="shared" si="10"/>
        <v>194291.66666666666</v>
      </c>
      <c r="M64" s="11">
        <f t="shared" si="5"/>
        <v>248478.64770920036</v>
      </c>
      <c r="N64" s="14">
        <f t="shared" si="6"/>
        <v>3501.9737661145832</v>
      </c>
      <c r="O64" s="11">
        <f t="shared" si="19"/>
        <v>244976.67394308577</v>
      </c>
    </row>
    <row r="65" spans="1:15">
      <c r="A65" s="9">
        <v>64</v>
      </c>
      <c r="B65" s="10">
        <v>47598</v>
      </c>
      <c r="C65" s="8">
        <f t="shared" si="22"/>
        <v>152154.72225187498</v>
      </c>
      <c r="D65" s="17">
        <f t="shared" si="20"/>
        <v>55833.333333333336</v>
      </c>
      <c r="E65" s="8">
        <f t="shared" si="21"/>
        <v>131636.14526204733</v>
      </c>
      <c r="F65" s="8">
        <f t="shared" si="1"/>
        <v>125000</v>
      </c>
      <c r="G65" s="11">
        <f t="shared" si="18"/>
        <v>464624.20084725565</v>
      </c>
      <c r="H65" s="12">
        <f t="shared" si="3"/>
        <v>27666.666666666672</v>
      </c>
      <c r="I65" s="11">
        <f t="shared" si="12"/>
        <v>492290.86751392233</v>
      </c>
      <c r="J65" s="11">
        <f t="shared" si="9"/>
        <v>49229.086751392235</v>
      </c>
      <c r="K65" s="11">
        <f t="shared" si="4"/>
        <v>443061.78076253011</v>
      </c>
      <c r="L65" s="11">
        <f t="shared" si="10"/>
        <v>194291.66666666666</v>
      </c>
      <c r="M65" s="11">
        <f t="shared" si="5"/>
        <v>248770.11409586345</v>
      </c>
      <c r="N65" s="14">
        <f t="shared" si="6"/>
        <v>3501.9737661145832</v>
      </c>
      <c r="O65" s="11">
        <f t="shared" si="19"/>
        <v>245268.14032974886</v>
      </c>
    </row>
    <row r="66" spans="1:15">
      <c r="A66" s="9">
        <v>65</v>
      </c>
      <c r="B66" s="10">
        <v>47628</v>
      </c>
      <c r="C66" s="8">
        <f t="shared" si="22"/>
        <v>152154.72225187498</v>
      </c>
      <c r="D66" s="17">
        <f t="shared" si="20"/>
        <v>55833.333333333336</v>
      </c>
      <c r="E66" s="8">
        <f t="shared" si="21"/>
        <v>131960.79550804969</v>
      </c>
      <c r="F66" s="8">
        <f t="shared" si="1"/>
        <v>125000</v>
      </c>
      <c r="G66" s="11">
        <f t="shared" si="18"/>
        <v>464948.85109325801</v>
      </c>
      <c r="H66" s="12">
        <f t="shared" si="3"/>
        <v>27666.666666666672</v>
      </c>
      <c r="I66" s="11">
        <f t="shared" si="12"/>
        <v>492615.5177599247</v>
      </c>
      <c r="J66" s="11">
        <f t="shared" si="9"/>
        <v>49261.55177599247</v>
      </c>
      <c r="K66" s="11">
        <f t="shared" si="4"/>
        <v>443353.96598393226</v>
      </c>
      <c r="L66" s="11">
        <f t="shared" si="10"/>
        <v>194291.66666666666</v>
      </c>
      <c r="M66" s="11">
        <f t="shared" si="5"/>
        <v>249062.2993172656</v>
      </c>
      <c r="N66" s="14">
        <f t="shared" si="6"/>
        <v>3501.9737661145832</v>
      </c>
      <c r="O66" s="11">
        <f t="shared" si="19"/>
        <v>245560.32555115101</v>
      </c>
    </row>
    <row r="67" spans="1:15">
      <c r="A67" s="9">
        <v>66</v>
      </c>
      <c r="B67" s="10">
        <v>47659</v>
      </c>
      <c r="C67" s="8">
        <f t="shared" si="22"/>
        <v>152154.72225187498</v>
      </c>
      <c r="D67" s="17">
        <f t="shared" si="20"/>
        <v>55833.333333333336</v>
      </c>
      <c r="E67" s="8">
        <f t="shared" si="21"/>
        <v>132286.2464291403</v>
      </c>
      <c r="F67" s="8">
        <f t="shared" ref="F67:F73" si="23">IF(A67 &gt;= 57, (50 * 30000) / 12, IF(A67 &gt;= 6, (42 * 30000) / 12, 0))</f>
        <v>125000</v>
      </c>
      <c r="G67" s="11">
        <f t="shared" si="18"/>
        <v>465274.30201434862</v>
      </c>
      <c r="H67" s="12">
        <f t="shared" ref="H67:H73" si="24">IF(A67 &gt;= 1, ((15.8 - 10) * 35000 / 12), 0) + IF(A67 &lt;= 36, (15.8 * 50000 / 12), 0) + IF(A67 &gt;= 6, ((15.8 - 11.5) * 30000 / 12), 0)</f>
        <v>27666.666666666672</v>
      </c>
      <c r="I67" s="11">
        <f t="shared" si="12"/>
        <v>492940.96868101531</v>
      </c>
      <c r="J67" s="11">
        <f t="shared" si="9"/>
        <v>49294.096868101537</v>
      </c>
      <c r="K67" s="11">
        <f t="shared" ref="K67:K73" si="25">I67-J67</f>
        <v>443646.8718129138</v>
      </c>
      <c r="L67" s="11">
        <f t="shared" ref="L67:L73" si="26">(15.8*145000/12)+(0.03*(F67-(0.1*F67)))</f>
        <v>194291.66666666666</v>
      </c>
      <c r="M67" s="11">
        <f t="shared" ref="M67:M73" si="27">(K67-L67)</f>
        <v>249355.20514624714</v>
      </c>
      <c r="N67" s="14">
        <f t="shared" ref="N67:N73" si="28">(0.25*145000/12)*(1+3%)^(INT((A67-1)/12))</f>
        <v>3501.9737661145832</v>
      </c>
      <c r="O67" s="11">
        <f t="shared" si="19"/>
        <v>245853.23138013255</v>
      </c>
    </row>
    <row r="68" spans="1:15">
      <c r="A68" s="9">
        <v>67</v>
      </c>
      <c r="B68" s="10">
        <v>47689</v>
      </c>
      <c r="C68" s="8">
        <f t="shared" si="22"/>
        <v>152154.72225187498</v>
      </c>
      <c r="D68" s="17">
        <f t="shared" si="20"/>
        <v>55833.333333333336</v>
      </c>
      <c r="E68" s="8">
        <f t="shared" si="21"/>
        <v>132612.5</v>
      </c>
      <c r="F68" s="8">
        <f t="shared" si="23"/>
        <v>125000</v>
      </c>
      <c r="G68" s="11">
        <f t="shared" si="18"/>
        <v>465600.55558520835</v>
      </c>
      <c r="H68" s="12">
        <f>IF(A68 &gt;= 1, ((15.8 - 10) * 35000 / 12), 0) + IF(A68 &lt;= 36, (15.8 * 50000 / 12), 0) + IF(A68 &gt;= 6, ((15.8 - 11.5) * 30000 / 12), 0)</f>
        <v>27666.666666666672</v>
      </c>
      <c r="I68" s="11">
        <f t="shared" si="12"/>
        <v>493267.22225187503</v>
      </c>
      <c r="J68" s="11">
        <f t="shared" ref="J68:J73" si="29">(I68*0.1)</f>
        <v>49326.722225187506</v>
      </c>
      <c r="K68" s="11">
        <f t="shared" si="25"/>
        <v>443940.50002668751</v>
      </c>
      <c r="L68" s="11">
        <f t="shared" si="26"/>
        <v>194291.66666666666</v>
      </c>
      <c r="M68" s="11">
        <f t="shared" si="27"/>
        <v>249648.83336002086</v>
      </c>
      <c r="N68" s="14">
        <f t="shared" si="28"/>
        <v>3501.9737661145832</v>
      </c>
      <c r="O68" s="11">
        <f t="shared" si="19"/>
        <v>246146.85959390627</v>
      </c>
    </row>
    <row r="69" spans="1:15">
      <c r="A69" s="9">
        <v>68</v>
      </c>
      <c r="B69" s="10">
        <v>47720</v>
      </c>
      <c r="C69" s="8">
        <f t="shared" si="22"/>
        <v>152154.72225187498</v>
      </c>
      <c r="D69" s="17">
        <f t="shared" si="20"/>
        <v>55833.333333333336</v>
      </c>
      <c r="E69" s="8">
        <f t="shared" si="21"/>
        <v>132939.5582001796</v>
      </c>
      <c r="F69" s="8">
        <f t="shared" si="23"/>
        <v>125000</v>
      </c>
      <c r="G69" s="11">
        <f t="shared" si="18"/>
        <v>465927.61378538795</v>
      </c>
      <c r="H69" s="12">
        <f t="shared" si="24"/>
        <v>27666.666666666672</v>
      </c>
      <c r="I69" s="11">
        <f t="shared" ref="I69:I73" si="30">G69+H69</f>
        <v>493594.28045205463</v>
      </c>
      <c r="J69" s="11">
        <f t="shared" si="29"/>
        <v>49359.428045205466</v>
      </c>
      <c r="K69" s="11">
        <f t="shared" si="25"/>
        <v>444234.85240684915</v>
      </c>
      <c r="L69" s="11">
        <f t="shared" si="26"/>
        <v>194291.66666666666</v>
      </c>
      <c r="M69" s="11">
        <f t="shared" si="27"/>
        <v>249943.1857401825</v>
      </c>
      <c r="N69" s="14">
        <f t="shared" si="28"/>
        <v>3501.9737661145832</v>
      </c>
      <c r="O69" s="11">
        <f t="shared" si="19"/>
        <v>246441.2119740679</v>
      </c>
    </row>
    <row r="70" spans="1:15">
      <c r="A70" s="9">
        <v>69</v>
      </c>
      <c r="B70" s="10">
        <v>47751</v>
      </c>
      <c r="C70" s="8">
        <f t="shared" si="22"/>
        <v>152154.72225187498</v>
      </c>
      <c r="D70" s="17">
        <f>IF(A70 &gt;= 61, ((550 * 30000 - 9800000) * 0.1) / 12, 0)</f>
        <v>55833.333333333336</v>
      </c>
      <c r="E70" s="8">
        <f t="shared" si="21"/>
        <v>133267.42301411214</v>
      </c>
      <c r="F70" s="8">
        <f t="shared" si="23"/>
        <v>125000</v>
      </c>
      <c r="G70" s="11">
        <f t="shared" si="18"/>
        <v>466255.47859932046</v>
      </c>
      <c r="H70" s="12">
        <f t="shared" si="24"/>
        <v>27666.666666666672</v>
      </c>
      <c r="I70" s="11">
        <f t="shared" si="30"/>
        <v>493922.14526598714</v>
      </c>
      <c r="J70" s="11">
        <f t="shared" si="29"/>
        <v>49392.21452659872</v>
      </c>
      <c r="K70" s="11">
        <f t="shared" si="25"/>
        <v>444529.93073938845</v>
      </c>
      <c r="L70" s="11">
        <f t="shared" si="26"/>
        <v>194291.66666666666</v>
      </c>
      <c r="M70" s="11">
        <f t="shared" si="27"/>
        <v>250238.26407272179</v>
      </c>
      <c r="N70" s="14">
        <f t="shared" si="28"/>
        <v>3501.9737661145832</v>
      </c>
      <c r="O70" s="11">
        <f t="shared" si="19"/>
        <v>246736.2903066072</v>
      </c>
    </row>
    <row r="71" spans="1:15">
      <c r="A71" s="9">
        <v>70</v>
      </c>
      <c r="B71" s="10">
        <v>47781</v>
      </c>
      <c r="C71" s="8">
        <f t="shared" si="22"/>
        <v>152154.72225187498</v>
      </c>
      <c r="D71" s="17">
        <f t="shared" si="20"/>
        <v>55833.333333333336</v>
      </c>
      <c r="E71" s="8">
        <f t="shared" si="21"/>
        <v>133596.09643112461</v>
      </c>
      <c r="F71" s="8">
        <f t="shared" si="23"/>
        <v>125000</v>
      </c>
      <c r="G71" s="11">
        <f t="shared" si="18"/>
        <v>466584.15201633296</v>
      </c>
      <c r="H71" s="12">
        <f t="shared" si="24"/>
        <v>27666.666666666672</v>
      </c>
      <c r="I71" s="11">
        <f t="shared" si="30"/>
        <v>494250.81868299964</v>
      </c>
      <c r="J71" s="11">
        <f t="shared" si="29"/>
        <v>49425.081868299967</v>
      </c>
      <c r="K71" s="11">
        <f t="shared" si="25"/>
        <v>444825.73681469966</v>
      </c>
      <c r="L71" s="11">
        <f t="shared" si="26"/>
        <v>194291.66666666666</v>
      </c>
      <c r="M71" s="11">
        <f t="shared" si="27"/>
        <v>250534.070148033</v>
      </c>
      <c r="N71" s="14">
        <f t="shared" si="28"/>
        <v>3501.9737661145832</v>
      </c>
      <c r="O71" s="11">
        <f t="shared" si="19"/>
        <v>247032.09638191841</v>
      </c>
    </row>
    <row r="72" spans="1:15">
      <c r="A72" s="9">
        <v>71</v>
      </c>
      <c r="B72" s="10">
        <v>47812</v>
      </c>
      <c r="C72" s="8">
        <f t="shared" si="22"/>
        <v>152154.72225187498</v>
      </c>
      <c r="D72" s="17">
        <f t="shared" si="20"/>
        <v>55833.333333333336</v>
      </c>
      <c r="E72" s="8">
        <f t="shared" si="21"/>
        <v>133925.58044545047</v>
      </c>
      <c r="F72" s="8">
        <f t="shared" si="23"/>
        <v>125000</v>
      </c>
      <c r="G72" s="11">
        <f t="shared" si="18"/>
        <v>466913.63603065879</v>
      </c>
      <c r="H72" s="12">
        <f t="shared" si="24"/>
        <v>27666.666666666672</v>
      </c>
      <c r="I72" s="11">
        <f t="shared" si="30"/>
        <v>494580.30269732547</v>
      </c>
      <c r="J72" s="11">
        <f t="shared" si="29"/>
        <v>49458.030269732553</v>
      </c>
      <c r="K72" s="11">
        <f t="shared" si="25"/>
        <v>445122.27242759289</v>
      </c>
      <c r="L72" s="11">
        <f t="shared" si="26"/>
        <v>194291.66666666666</v>
      </c>
      <c r="M72" s="11">
        <f t="shared" si="27"/>
        <v>250830.60576092624</v>
      </c>
      <c r="N72" s="14">
        <f t="shared" si="28"/>
        <v>3501.9737661145832</v>
      </c>
      <c r="O72" s="11">
        <f t="shared" si="19"/>
        <v>247328.63199481164</v>
      </c>
    </row>
    <row r="73" spans="1:15">
      <c r="A73" s="9">
        <v>72</v>
      </c>
      <c r="B73" s="10">
        <v>47842</v>
      </c>
      <c r="C73" s="8">
        <f t="shared" si="22"/>
        <v>152154.72225187498</v>
      </c>
      <c r="D73" s="17">
        <f t="shared" si="20"/>
        <v>55833.333333333336</v>
      </c>
      <c r="E73" s="8">
        <f t="shared" si="21"/>
        <v>134255.8770562413</v>
      </c>
      <c r="F73" s="8">
        <f t="shared" si="23"/>
        <v>125000</v>
      </c>
      <c r="G73" s="11">
        <f t="shared" si="18"/>
        <v>467243.93264144962</v>
      </c>
      <c r="H73" s="12">
        <f t="shared" si="24"/>
        <v>27666.666666666672</v>
      </c>
      <c r="I73" s="11">
        <f t="shared" si="30"/>
        <v>494910.5993081163</v>
      </c>
      <c r="J73" s="11">
        <f t="shared" si="29"/>
        <v>49491.059930811636</v>
      </c>
      <c r="K73" s="11">
        <f t="shared" si="25"/>
        <v>445419.53937730467</v>
      </c>
      <c r="L73" s="11">
        <f t="shared" si="26"/>
        <v>194291.66666666666</v>
      </c>
      <c r="M73" s="11">
        <f t="shared" si="27"/>
        <v>251127.87271063801</v>
      </c>
      <c r="N73" s="14">
        <f t="shared" si="28"/>
        <v>3501.9737661145832</v>
      </c>
      <c r="O73" s="11">
        <f t="shared" si="19"/>
        <v>247625.89894452342</v>
      </c>
    </row>
    <row r="74" spans="1:15">
      <c r="A74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454DF-0AFB-DA4D-9A95-A3058E598009}">
  <dimension ref="A1:O20"/>
  <sheetViews>
    <sheetView topLeftCell="C1" zoomScale="105" workbookViewId="0">
      <selection activeCell="J8" sqref="J8"/>
    </sheetView>
  </sheetViews>
  <sheetFormatPr defaultColWidth="11" defaultRowHeight="15.95"/>
  <cols>
    <col min="1" max="1" width="28.375" bestFit="1" customWidth="1"/>
    <col min="2" max="6" width="15" bestFit="1" customWidth="1"/>
    <col min="7" max="7" width="16" bestFit="1" customWidth="1"/>
    <col min="9" max="9" width="23" bestFit="1" customWidth="1"/>
    <col min="10" max="10" width="14.625" bestFit="1" customWidth="1"/>
    <col min="11" max="11" width="19" bestFit="1" customWidth="1"/>
    <col min="12" max="12" width="19.125" bestFit="1" customWidth="1"/>
    <col min="13" max="13" width="23.5" bestFit="1" customWidth="1"/>
    <col min="14" max="14" width="18.375" bestFit="1" customWidth="1"/>
    <col min="15" max="15" width="6.125" bestFit="1" customWidth="1"/>
  </cols>
  <sheetData>
    <row r="1" spans="1:15" ht="15.75">
      <c r="A1" s="23" t="s">
        <v>35</v>
      </c>
      <c r="B1" s="22" t="s">
        <v>40</v>
      </c>
      <c r="C1" s="22" t="s">
        <v>41</v>
      </c>
      <c r="D1" s="22" t="s">
        <v>42</v>
      </c>
      <c r="E1" s="22" t="s">
        <v>43</v>
      </c>
      <c r="F1" s="22" t="s">
        <v>44</v>
      </c>
      <c r="G1" s="22" t="s">
        <v>45</v>
      </c>
      <c r="I1" s="4" t="s">
        <v>46</v>
      </c>
      <c r="J1" s="8">
        <f>J8*(1-0.7)</f>
        <v>11359003.465721412</v>
      </c>
    </row>
    <row r="2" spans="1:15" ht="16.5">
      <c r="A2" s="23" t="s">
        <v>47</v>
      </c>
      <c r="B2" s="26">
        <f>SUM('Monthly Proforma'!I2:I13)</f>
        <v>6058249.9999999981</v>
      </c>
      <c r="C2" s="26">
        <f>SUM('Monthly Proforma'!I13:I25)</f>
        <v>7307333.333333334</v>
      </c>
      <c r="D2" s="32">
        <f>SUM('Monthly Proforma'!I26:I37)</f>
        <v>6982917.5000000009</v>
      </c>
      <c r="E2" s="26">
        <f>SUM('Monthly Proforma'!I38:I49)</f>
        <v>5362590.2749999985</v>
      </c>
      <c r="F2" s="26">
        <f>SUM('Monthly Proforma'!I50:I61)</f>
        <v>6833766.8757500006</v>
      </c>
      <c r="G2" s="26">
        <f>F2*(1+0.03)</f>
        <v>7038779.882022501</v>
      </c>
      <c r="I2" s="4" t="s">
        <v>48</v>
      </c>
      <c r="J2" s="31">
        <f>B8/J14</f>
        <v>0.11310796984134677</v>
      </c>
    </row>
    <row r="3" spans="1:15" ht="16.5">
      <c r="A3" s="23" t="s">
        <v>49</v>
      </c>
      <c r="B3" s="26">
        <f>(B2*0.1)</f>
        <v>605824.99999999988</v>
      </c>
      <c r="C3" s="26">
        <f>(C2*0.1)</f>
        <v>730733.33333333349</v>
      </c>
      <c r="D3" s="26">
        <f>D2*0.1</f>
        <v>698291.75000000012</v>
      </c>
      <c r="E3" s="26">
        <f>E2*0.1</f>
        <v>536259.02749999985</v>
      </c>
      <c r="F3" s="26">
        <f>F2*0.1</f>
        <v>683376.68757500011</v>
      </c>
      <c r="G3" s="26">
        <f>G2*0.1</f>
        <v>703877.9882022501</v>
      </c>
      <c r="I3" s="4" t="s">
        <v>50</v>
      </c>
      <c r="J3" s="31">
        <f>(B7+B11)/B2</f>
        <v>0.70324558668720349</v>
      </c>
    </row>
    <row r="4" spans="1:15" ht="16.5">
      <c r="A4" s="23" t="s">
        <v>51</v>
      </c>
      <c r="B4" s="26">
        <f>B2-B3</f>
        <v>5452424.9999999981</v>
      </c>
      <c r="C4" s="26">
        <f t="shared" ref="C4:G4" si="0">C2-C3</f>
        <v>6576600</v>
      </c>
      <c r="D4" s="26">
        <f t="shared" si="0"/>
        <v>6284625.7500000009</v>
      </c>
      <c r="E4" s="26">
        <f t="shared" si="0"/>
        <v>4826331.2474999987</v>
      </c>
      <c r="F4" s="26">
        <f t="shared" si="0"/>
        <v>6150390.1881750003</v>
      </c>
      <c r="G4" s="26">
        <f t="shared" si="0"/>
        <v>6334901.8938202504</v>
      </c>
      <c r="I4" s="4" t="s">
        <v>52</v>
      </c>
      <c r="J4" s="31">
        <f>B12/J1</f>
        <v>0.10493767591931498</v>
      </c>
    </row>
    <row r="5" spans="1:15" ht="15.75">
      <c r="A5" s="23" t="s">
        <v>53</v>
      </c>
      <c r="B5" s="26">
        <f>145000*15.8</f>
        <v>2291000</v>
      </c>
      <c r="C5" s="26">
        <f>145000*16.274</f>
        <v>2359730</v>
      </c>
      <c r="D5" s="26">
        <f>145000*16.762</f>
        <v>2430490</v>
      </c>
      <c r="E5" s="26">
        <f>145000*17.265</f>
        <v>2503425</v>
      </c>
      <c r="F5" s="26">
        <f>145000*17.783</f>
        <v>2578535</v>
      </c>
      <c r="G5" s="26">
        <f>145000*18.316</f>
        <v>2655820</v>
      </c>
    </row>
    <row r="6" spans="1:15">
      <c r="A6" s="23" t="s">
        <v>54</v>
      </c>
      <c r="B6" s="26">
        <f>B4*0.03</f>
        <v>163572.74999999994</v>
      </c>
      <c r="C6" s="26">
        <f t="shared" ref="C6:G6" si="1">C4*0.03</f>
        <v>197298</v>
      </c>
      <c r="D6" s="26">
        <f t="shared" si="1"/>
        <v>188538.77250000002</v>
      </c>
      <c r="E6" s="26">
        <f t="shared" si="1"/>
        <v>144789.93742499995</v>
      </c>
      <c r="F6" s="26">
        <f t="shared" si="1"/>
        <v>184511.70564525001</v>
      </c>
      <c r="G6" s="26">
        <f t="shared" si="1"/>
        <v>190047.05681460749</v>
      </c>
    </row>
    <row r="7" spans="1:15">
      <c r="A7" s="23" t="s">
        <v>55</v>
      </c>
      <c r="B7" s="26">
        <f>B5+B6</f>
        <v>2454572.75</v>
      </c>
      <c r="C7" s="26">
        <f t="shared" ref="C7:G7" si="2">C5+C6</f>
        <v>2557028</v>
      </c>
      <c r="D7" s="26">
        <f t="shared" si="2"/>
        <v>2619028.7725</v>
      </c>
      <c r="E7" s="26">
        <f t="shared" si="2"/>
        <v>2648214.9374250001</v>
      </c>
      <c r="F7" s="26">
        <f t="shared" si="2"/>
        <v>2763046.7056452502</v>
      </c>
      <c r="G7" s="26">
        <f>G5+G6</f>
        <v>2845867.0568146077</v>
      </c>
      <c r="J7" s="21">
        <f>F8/0.085</f>
        <v>39851099.794467643</v>
      </c>
    </row>
    <row r="8" spans="1:15">
      <c r="A8" s="23" t="s">
        <v>56</v>
      </c>
      <c r="B8" s="26">
        <f>B4-B7</f>
        <v>2997852.2499999981</v>
      </c>
      <c r="C8" s="26">
        <f t="shared" ref="C8:G8" si="3">C4-C7</f>
        <v>4019572</v>
      </c>
      <c r="D8" s="26">
        <f t="shared" si="3"/>
        <v>3665596.977500001</v>
      </c>
      <c r="E8" s="26">
        <f t="shared" si="3"/>
        <v>2178116.3100749985</v>
      </c>
      <c r="F8" s="26">
        <f>F4-F7</f>
        <v>3387343.4825297501</v>
      </c>
      <c r="G8" s="26">
        <f>G4-G7</f>
        <v>3489034.8370056427</v>
      </c>
      <c r="I8" t="s">
        <v>57</v>
      </c>
      <c r="J8" s="3">
        <f>NPV(9.5%,B8,C8,D8,E8,F8+J7)</f>
        <v>37863344.88573803</v>
      </c>
    </row>
    <row r="9" spans="1:15">
      <c r="A9" s="23" t="s">
        <v>33</v>
      </c>
      <c r="B9" s="26">
        <f>145000*0.25*(1+0.03)^0</f>
        <v>36250</v>
      </c>
      <c r="C9" s="26">
        <f>145000*0.25*(1+0.03)^1</f>
        <v>37337.5</v>
      </c>
      <c r="D9" s="26">
        <f>145000*0.25*(1+0.03)^2</f>
        <v>38457.625</v>
      </c>
      <c r="E9" s="26">
        <f>145000*0.25*(1+0.03)^3</f>
        <v>39611.353750000002</v>
      </c>
      <c r="F9" s="26">
        <f>145000*0.25*(1+0.03)^4</f>
        <v>40799.694362499999</v>
      </c>
      <c r="G9" s="26">
        <f>145000*0.25*(1+0.03)^5</f>
        <v>42023.685193374993</v>
      </c>
      <c r="I9" t="s">
        <v>58</v>
      </c>
      <c r="J9" s="24">
        <f>J8*70%</f>
        <v>26504341.42001662</v>
      </c>
    </row>
    <row r="10" spans="1:15">
      <c r="A10" s="23" t="s">
        <v>59</v>
      </c>
      <c r="B10" s="27">
        <f>B8-B9</f>
        <v>2961602.2499999981</v>
      </c>
      <c r="C10" s="27">
        <f t="shared" ref="C10:G10" si="4">C8-C9</f>
        <v>3982234.5</v>
      </c>
      <c r="D10" s="27">
        <f t="shared" si="4"/>
        <v>3627139.352500001</v>
      </c>
      <c r="E10" s="27">
        <f t="shared" si="4"/>
        <v>2138504.9563249988</v>
      </c>
      <c r="F10" s="27">
        <f>F8-F9</f>
        <v>3346543.7881672499</v>
      </c>
      <c r="G10" s="27">
        <f>G8-G9</f>
        <v>3447011.1518122675</v>
      </c>
      <c r="I10" t="s">
        <v>60</v>
      </c>
      <c r="J10" s="3">
        <f>PMT(J13/12, 30*12, -J9)</f>
        <v>150488.73546231241</v>
      </c>
    </row>
    <row r="11" spans="1:15">
      <c r="A11" s="23" t="s">
        <v>61</v>
      </c>
      <c r="B11" s="28">
        <f>J11</f>
        <v>1805864.8255477489</v>
      </c>
      <c r="C11" s="28">
        <f>J11</f>
        <v>1805864.8255477489</v>
      </c>
      <c r="D11" s="28">
        <f>J11</f>
        <v>1805864.8255477489</v>
      </c>
      <c r="E11" s="28">
        <f>J11</f>
        <v>1805864.8255477489</v>
      </c>
      <c r="F11" s="28">
        <f>J11</f>
        <v>1805864.8255477489</v>
      </c>
      <c r="G11" s="28">
        <f>J11</f>
        <v>1805864.8255477489</v>
      </c>
      <c r="I11" t="s">
        <v>62</v>
      </c>
      <c r="J11" s="3">
        <f>J10*12</f>
        <v>1805864.8255477489</v>
      </c>
    </row>
    <row r="12" spans="1:15" ht="15.75">
      <c r="A12" s="23" t="s">
        <v>63</v>
      </c>
      <c r="B12" s="27">
        <f>B8-B11</f>
        <v>1191987.4244522492</v>
      </c>
      <c r="C12" s="27">
        <f>C8-C11</f>
        <v>2213707.1744522508</v>
      </c>
      <c r="D12" s="27">
        <f>D8-D11</f>
        <v>1859732.151952252</v>
      </c>
      <c r="E12" s="27">
        <f>E8-E11</f>
        <v>372251.48452724959</v>
      </c>
      <c r="F12" s="27">
        <f>F8-F11</f>
        <v>1581478.6569820012</v>
      </c>
      <c r="G12" s="27">
        <f>G10-G11</f>
        <v>1641146.3262645185</v>
      </c>
      <c r="I12" t="s">
        <v>64</v>
      </c>
      <c r="J12">
        <v>30</v>
      </c>
    </row>
    <row r="13" spans="1:15" ht="15.75">
      <c r="A13" s="23" t="s">
        <v>65</v>
      </c>
      <c r="B13" s="29"/>
      <c r="C13" s="30"/>
      <c r="D13" s="30"/>
      <c r="E13" s="30"/>
      <c r="F13" s="30"/>
      <c r="G13" s="29">
        <f>41047469+1540676.96</f>
        <v>42588145.960000001</v>
      </c>
      <c r="I13" t="s">
        <v>66</v>
      </c>
      <c r="J13" s="25">
        <v>5.5E-2</v>
      </c>
      <c r="O13" s="21"/>
    </row>
    <row r="14" spans="1:15" ht="15.75">
      <c r="A14" s="23" t="s">
        <v>67</v>
      </c>
      <c r="B14" s="27">
        <f>B10-B11</f>
        <v>1155737.4244522492</v>
      </c>
      <c r="C14" s="27">
        <f t="shared" ref="C14:F14" si="5">C10-C11</f>
        <v>2176369.6744522508</v>
      </c>
      <c r="D14" s="27">
        <f t="shared" si="5"/>
        <v>1821274.526952252</v>
      </c>
      <c r="E14" s="27">
        <f t="shared" si="5"/>
        <v>332640.13077724981</v>
      </c>
      <c r="F14" s="27">
        <f>F10-F11</f>
        <v>1540678.9626195009</v>
      </c>
      <c r="G14" s="27">
        <f>(F10-F11+G13)</f>
        <v>44128824.922619499</v>
      </c>
      <c r="I14" t="s">
        <v>68</v>
      </c>
      <c r="J14" s="3">
        <f>J8*70%</f>
        <v>26504341.42001662</v>
      </c>
    </row>
    <row r="15" spans="1:15" ht="15.75">
      <c r="C15" s="8"/>
      <c r="G15" s="21"/>
      <c r="I15" t="s">
        <v>69</v>
      </c>
    </row>
    <row r="16" spans="1:15" ht="15.75">
      <c r="B16" s="8"/>
    </row>
    <row r="17" spans="12:12" ht="15.75"/>
    <row r="18" spans="12:12" ht="15.75"/>
    <row r="19" spans="12:12" ht="16.5">
      <c r="L19" s="5"/>
    </row>
    <row r="20" spans="12:12" ht="16.5">
      <c r="L20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1EB6-FD89-FE45-9ED9-E8F9A6AA2E02}">
  <dimension ref="A1:B9"/>
  <sheetViews>
    <sheetView tabSelected="1" workbookViewId="0">
      <selection activeCell="B7" sqref="B7"/>
    </sheetView>
  </sheetViews>
  <sheetFormatPr defaultColWidth="11" defaultRowHeight="15.95"/>
  <cols>
    <col min="1" max="1" width="9.125" bestFit="1" customWidth="1"/>
    <col min="2" max="2" width="14" customWidth="1"/>
  </cols>
  <sheetData>
    <row r="1" spans="1:2">
      <c r="A1" s="7" t="s">
        <v>70</v>
      </c>
      <c r="B1" s="7" t="s">
        <v>71</v>
      </c>
    </row>
    <row r="2" spans="1:2">
      <c r="A2" t="s">
        <v>72</v>
      </c>
      <c r="B2">
        <v>6.75</v>
      </c>
    </row>
    <row r="3" spans="1:2">
      <c r="A3" t="s">
        <v>73</v>
      </c>
      <c r="B3">
        <v>1.8</v>
      </c>
    </row>
    <row r="4" spans="1:2">
      <c r="A4" t="s">
        <v>74</v>
      </c>
      <c r="B4">
        <v>1</v>
      </c>
    </row>
    <row r="5" spans="1:2">
      <c r="A5" t="s">
        <v>75</v>
      </c>
      <c r="B5">
        <v>3.5</v>
      </c>
    </row>
    <row r="6" spans="1:2">
      <c r="A6" t="s">
        <v>76</v>
      </c>
      <c r="B6">
        <v>1.25</v>
      </c>
    </row>
    <row r="7" spans="1:2">
      <c r="A7" t="s">
        <v>77</v>
      </c>
      <c r="B7">
        <v>1.05</v>
      </c>
    </row>
    <row r="8" spans="1:2">
      <c r="A8" t="s">
        <v>78</v>
      </c>
      <c r="B8">
        <v>0.45</v>
      </c>
    </row>
    <row r="9" spans="1:2">
      <c r="B9">
        <f>SUM(B2:B8)</f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TANJIM ISLAM</dc:creator>
  <cp:keywords/>
  <dc:description/>
  <cp:lastModifiedBy/>
  <cp:revision/>
  <dcterms:created xsi:type="dcterms:W3CDTF">2024-12-20T08:24:51Z</dcterms:created>
  <dcterms:modified xsi:type="dcterms:W3CDTF">2026-03-19T21:39:24Z</dcterms:modified>
  <cp:category/>
  <cp:contentStatus/>
</cp:coreProperties>
</file>